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filterPrivacy="1" codeName="ThisWorkbook"/>
  <xr:revisionPtr revIDLastSave="302" documentId="13_ncr:1_{98D61879-B0E0-49BF-9DB3-88AFC833EF48}" xr6:coauthVersionLast="47" xr6:coauthVersionMax="47" xr10:uidLastSave="{06086AD7-E0C4-4665-A317-0F3B981D7CB7}"/>
  <bookViews>
    <workbookView xWindow="-110" yWindow="-110" windowWidth="22780" windowHeight="14540" tabRatio="652" xr2:uid="{00000000-000D-0000-FFFF-FFFF00000000}"/>
  </bookViews>
  <sheets>
    <sheet name="README" sheetId="14" r:id="rId1"/>
    <sheet name="ReportData" sheetId="16" r:id="rId2"/>
    <sheet name="Quality Report" sheetId="20" r:id="rId3"/>
    <sheet name="Missing Data" sheetId="28" r:id="rId4"/>
    <sheet name="Duplicates" sheetId="27" r:id="rId5"/>
    <sheet name="Formatting" sheetId="26" r:id="rId6"/>
    <sheet name="Invalid Data" sheetId="29" r:id="rId7"/>
    <sheet name="InvalidEmails" sheetId="24" r:id="rId8"/>
    <sheet name="InvalidPostcodes" sheetId="23" r:id="rId9"/>
  </sheets>
  <definedNames>
    <definedName name="_xlnm._FilterDatabase" localSheetId="2" hidden="1">'Quality Report'!$B$2:$L$54</definedName>
    <definedName name="_xleta.COUNTA" hidden="1" xlm="1">#NAME?</definedName>
    <definedName name="_xleta.TTEST" hidden="1" xlm="1">#NAME?</definedName>
    <definedName name="_xlpm.acct" hidden="1" xlm="1">#NAME?</definedName>
    <definedName name="_xlpm.allowed" hidden="1" xlm="1">#NAME?</definedName>
    <definedName name="_xlpm.atPos" hidden="1" xlm="1">#NAME?</definedName>
    <definedName name="_xlpm.cleaned" hidden="1" xlm="1">#NAME?</definedName>
    <definedName name="_xlpm.cleanedTxt" hidden="1" xlm="1">#NAME?</definedName>
    <definedName name="_xlpm.col" hidden="1" xlm="1">#NAME?</definedName>
    <definedName name="_xlpm.colIndex" hidden="1" xlm="1">#NAME?</definedName>
    <definedName name="_xlpm.colName" hidden="1" xlm="1">#NAME?</definedName>
    <definedName name="_xlpm.counts" hidden="1" xlm="1">#NAME?</definedName>
    <definedName name="_xlpm.dataBottomRow" hidden="1" xlm="1">#NAME?</definedName>
    <definedName name="_xlpm.dataCol" hidden="1" xlm="1">#NAME?</definedName>
    <definedName name="_xlpm.dataRange" hidden="1" xlm="1">#NAME?</definedName>
    <definedName name="_xlpm.dataTopRow" hidden="1" xlm="1">#NAME?</definedName>
    <definedName name="_xlpm.dom" hidden="1" xlm="1">#NAME?</definedName>
    <definedName name="_xlpm.e" hidden="1" xlm="1">#NAME?</definedName>
    <definedName name="_xlpm.F5cleaned" hidden="1" xlm="1">#NAME?</definedName>
    <definedName name="_xlpm.filled" hidden="1" xlm="1">#NAME?</definedName>
    <definedName name="_xlpm.hasDotAfterAt" hidden="1" xlm="1">#NAME?</definedName>
    <definedName name="_xlpm.hdrs" hidden="1" xlm="1">#NAME?</definedName>
    <definedName name="_xlpm.headerRange" hidden="1" xlm="1">#NAME?</definedName>
    <definedName name="_xlpm.headerRow" hidden="1" xlm="1">#NAME?</definedName>
    <definedName name="_xlpm.mask" hidden="1" xlm="1">#NAME?</definedName>
    <definedName name="_xlpm.missing" hidden="1" xlm="1">#NAME?</definedName>
    <definedName name="_xlpm.nonBlank" hidden="1" xlm="1">#NAME?</definedName>
    <definedName name="_xlpm.nonBlankCount" hidden="1" xlm="1">#NAME?</definedName>
    <definedName name="_xlpm.noSpaces" hidden="1" xlm="1">#NAME?</definedName>
    <definedName name="_xlpm.oneAt" hidden="1" xlm="1">#NAME?</definedName>
    <definedName name="_xlpm.originalTxt" hidden="1" xlm="1">#NAME?</definedName>
    <definedName name="_xlpm.raw" hidden="1" xlm="1">#NAME?</definedName>
    <definedName name="_xlpm.rng" hidden="1" xlm="1">#NAME?</definedName>
    <definedName name="_xlpm.tbl" hidden="1" xlm="1">#NAME?</definedName>
    <definedName name="_xlpm.tgtCol" hidden="1" xlm="1">#NAME?</definedName>
    <definedName name="_xlpm.tgtHdr" hidden="1" xlm="1">#NAME?</definedName>
    <definedName name="_xlpm.thisCol" hidden="1" xlm="1">#NAME?</definedName>
    <definedName name="_xlpm.tld" hidden="1" xlm="1">#NAME?</definedName>
    <definedName name="_xlpm.tldOK" hidden="1" xlm="1">#NAME?</definedName>
    <definedName name="_xlpm.total" hidden="1" xlm="1">#NAME?</definedName>
    <definedName name="_xlpm.uniqueCount" hidden="1" xlm="1">#NAME?</definedName>
    <definedName name="_xlpm.val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0" l="1" a="1"/>
  <c r="B3" i="20" s="1"/>
  <c r="F1" i="16"/>
  <c r="G1" i="16"/>
  <c r="H8" i="27" a="1"/>
  <c r="H8" i="27" s="1"/>
  <c r="K8" i="27" a="1"/>
  <c r="K8" i="27" s="1"/>
  <c r="N8" i="27" a="1"/>
  <c r="N8" i="27" s="1"/>
  <c r="Q8" i="27" a="1"/>
  <c r="Q8" i="27" s="1"/>
  <c r="T8" i="27" a="1"/>
  <c r="T8" i="27" s="1"/>
  <c r="W8" i="27" a="1"/>
  <c r="W8" i="27" s="1"/>
  <c r="Z8" i="27" a="1"/>
  <c r="Z8" i="27" s="1"/>
  <c r="AC8" i="27" a="1"/>
  <c r="AC8" i="27" s="1"/>
  <c r="AF8" i="27" a="1"/>
  <c r="AF8" i="27" s="1"/>
  <c r="AI8" i="27" a="1"/>
  <c r="AI8" i="27" s="1"/>
  <c r="AL8" i="27" a="1"/>
  <c r="AL8" i="27" s="1"/>
  <c r="AO8" i="27" a="1"/>
  <c r="AO8" i="27" s="1"/>
  <c r="AR8" i="27" a="1"/>
  <c r="AR8" i="27" s="1"/>
  <c r="AU8" i="27" a="1"/>
  <c r="AU8" i="27" s="1"/>
  <c r="AX8" i="27" a="1"/>
  <c r="AX8" i="27" s="1"/>
  <c r="BA8" i="27" a="1"/>
  <c r="BA8" i="27" s="1"/>
  <c r="BD8" i="27" a="1"/>
  <c r="BD8" i="27" s="1"/>
  <c r="BG8" i="27" a="1"/>
  <c r="BG8" i="27" s="1"/>
  <c r="BJ8" i="27" a="1"/>
  <c r="BJ8" i="27" s="1"/>
  <c r="BM8" i="27" a="1"/>
  <c r="BM8" i="27" s="1"/>
  <c r="BP8" i="27" a="1"/>
  <c r="BP8" i="27" s="1"/>
  <c r="BS8" i="27" a="1"/>
  <c r="BS8" i="27" s="1"/>
  <c r="BV8" i="27" a="1"/>
  <c r="BV8" i="27" s="1"/>
  <c r="BY8" i="27" a="1"/>
  <c r="BY8" i="27" s="1"/>
  <c r="CB8" i="27" a="1"/>
  <c r="CB8" i="27" s="1"/>
  <c r="CE8" i="27" a="1"/>
  <c r="CE8" i="27" s="1"/>
  <c r="CH8" i="27" a="1"/>
  <c r="CH8" i="27" s="1"/>
  <c r="CK8" i="27" a="1"/>
  <c r="CK8" i="27" s="1"/>
  <c r="CN8" i="27" a="1"/>
  <c r="CN8" i="27" s="1"/>
  <c r="CQ8" i="27" a="1"/>
  <c r="CQ8" i="27" s="1"/>
  <c r="CT8" i="27" a="1"/>
  <c r="CT8" i="27" s="1"/>
  <c r="CW8" i="27" a="1"/>
  <c r="CW8" i="27" s="1"/>
  <c r="CZ8" i="27" a="1"/>
  <c r="CZ8" i="27" s="1"/>
  <c r="DC8" i="27" a="1"/>
  <c r="DC8" i="27" s="1"/>
  <c r="DF8" i="27" a="1"/>
  <c r="DF8" i="27" s="1"/>
  <c r="DI8" i="27" a="1"/>
  <c r="DI8" i="27" s="1"/>
  <c r="DL8" i="27" a="1"/>
  <c r="DL8" i="27" s="1"/>
  <c r="DO8" i="27" a="1"/>
  <c r="DO8" i="27" s="1"/>
  <c r="E8" i="27" a="1"/>
  <c r="E8" i="27" s="1"/>
  <c r="BW1" i="27"/>
  <c r="BX1" i="27"/>
  <c r="BY1" i="27"/>
  <c r="BZ1" i="27"/>
  <c r="CA1" i="27"/>
  <c r="CB1" i="27"/>
  <c r="CC1" i="27"/>
  <c r="CD1" i="27"/>
  <c r="CE1" i="27"/>
  <c r="CF1" i="27"/>
  <c r="CG1" i="27"/>
  <c r="CH1" i="27"/>
  <c r="CI1" i="27"/>
  <c r="CJ1" i="27"/>
  <c r="CK1" i="27"/>
  <c r="CL1" i="27"/>
  <c r="CM1" i="27"/>
  <c r="CN1" i="27"/>
  <c r="CO1" i="27"/>
  <c r="CP1" i="27"/>
  <c r="CQ1" i="27"/>
  <c r="CR1" i="27"/>
  <c r="CS1" i="27"/>
  <c r="CT1" i="27"/>
  <c r="CU1" i="27"/>
  <c r="CV1" i="27"/>
  <c r="CW1" i="27"/>
  <c r="CX1" i="27"/>
  <c r="CY1" i="27"/>
  <c r="CZ1" i="27"/>
  <c r="DA1" i="27"/>
  <c r="DB1" i="27"/>
  <c r="DC1" i="27"/>
  <c r="DD1" i="27"/>
  <c r="DE1" i="27"/>
  <c r="DF1" i="27"/>
  <c r="DG1" i="27"/>
  <c r="DH1" i="27"/>
  <c r="DI1" i="27"/>
  <c r="DJ1" i="27"/>
  <c r="DK1" i="27"/>
  <c r="DL1" i="27"/>
  <c r="DM1" i="27"/>
  <c r="DN1" i="27"/>
  <c r="DO1" i="27"/>
  <c r="DP1" i="27"/>
  <c r="G6" i="27"/>
  <c r="J6" i="27"/>
  <c r="M6" i="27"/>
  <c r="P6" i="27"/>
  <c r="S6" i="27"/>
  <c r="V6" i="27"/>
  <c r="Y6" i="27"/>
  <c r="AB6" i="27"/>
  <c r="AE6" i="27"/>
  <c r="AH6" i="27"/>
  <c r="AK6" i="27"/>
  <c r="AN6" i="27"/>
  <c r="AQ6" i="27"/>
  <c r="AT6" i="27"/>
  <c r="AW6" i="27"/>
  <c r="AZ6" i="27"/>
  <c r="BC6" i="27"/>
  <c r="BF6" i="27"/>
  <c r="BI6" i="27"/>
  <c r="BL6" i="27"/>
  <c r="BO6" i="27"/>
  <c r="BR6" i="27"/>
  <c r="BU6" i="27"/>
  <c r="BX6" i="27"/>
  <c r="CA6" i="27"/>
  <c r="CD6" i="27"/>
  <c r="CG6" i="27"/>
  <c r="CJ6" i="27"/>
  <c r="CM6" i="27"/>
  <c r="CP6" i="27"/>
  <c r="CS6" i="27"/>
  <c r="CV6" i="27"/>
  <c r="CY6" i="27"/>
  <c r="DB6" i="27"/>
  <c r="DE6" i="27"/>
  <c r="DH6" i="27"/>
  <c r="DK6" i="27"/>
  <c r="DN6" i="27"/>
  <c r="B1" i="16"/>
  <c r="C1" i="16"/>
  <c r="D1" i="16"/>
  <c r="E1" i="16"/>
  <c r="A1" i="16"/>
  <c r="B1" i="20" a="1"/>
  <c r="B1" i="20" s="1"/>
  <c r="E1" i="29"/>
  <c r="F1" i="29"/>
  <c r="G1" i="29"/>
  <c r="H1" i="29"/>
  <c r="I1" i="29"/>
  <c r="J1" i="29"/>
  <c r="K1" i="29"/>
  <c r="L1" i="29"/>
  <c r="M1" i="29"/>
  <c r="N1" i="29"/>
  <c r="O1" i="29"/>
  <c r="P1" i="29"/>
  <c r="Q1" i="29"/>
  <c r="R1" i="29"/>
  <c r="S1" i="29"/>
  <c r="T1" i="29"/>
  <c r="U1" i="29"/>
  <c r="V1" i="29"/>
  <c r="W1" i="29"/>
  <c r="X1" i="29"/>
  <c r="Y1" i="29"/>
  <c r="Z1" i="29"/>
  <c r="AA1" i="29"/>
  <c r="AB1" i="29"/>
  <c r="AC1" i="29"/>
  <c r="AD1" i="29"/>
  <c r="AE1" i="29"/>
  <c r="AF1" i="29"/>
  <c r="AG1" i="29"/>
  <c r="AH1" i="29"/>
  <c r="AI1" i="29"/>
  <c r="AJ1" i="29"/>
  <c r="AK1" i="29"/>
  <c r="AL1" i="29"/>
  <c r="AM1" i="29"/>
  <c r="AN1" i="29"/>
  <c r="AO1" i="29"/>
  <c r="AP1" i="29"/>
  <c r="AQ1" i="29"/>
  <c r="AR1" i="29"/>
  <c r="AS1" i="29"/>
  <c r="AT1" i="29"/>
  <c r="AU1" i="29"/>
  <c r="AV1" i="29"/>
  <c r="AW1" i="29"/>
  <c r="AX1" i="29"/>
  <c r="AY1" i="29"/>
  <c r="AZ1" i="29"/>
  <c r="BA1" i="29"/>
  <c r="BB1" i="29"/>
  <c r="BC1" i="29"/>
  <c r="BD1" i="29"/>
  <c r="BE1" i="29"/>
  <c r="BF1" i="29"/>
  <c r="BG1" i="29"/>
  <c r="BH1" i="29"/>
  <c r="BI1" i="29"/>
  <c r="BJ1" i="29"/>
  <c r="BK1" i="29"/>
  <c r="BL1" i="29"/>
  <c r="BM1" i="29"/>
  <c r="BN1" i="29"/>
  <c r="D1" i="29"/>
  <c r="E1" i="26"/>
  <c r="F1" i="26"/>
  <c r="G1" i="26"/>
  <c r="H1" i="26"/>
  <c r="I1" i="26"/>
  <c r="J1" i="26"/>
  <c r="K1" i="26"/>
  <c r="L1" i="26"/>
  <c r="M1" i="26"/>
  <c r="N1" i="26"/>
  <c r="O1" i="26"/>
  <c r="P1" i="26"/>
  <c r="Q1" i="26"/>
  <c r="R1" i="26"/>
  <c r="S1" i="26"/>
  <c r="T1" i="26"/>
  <c r="U1" i="26"/>
  <c r="V1" i="26"/>
  <c r="W1" i="26"/>
  <c r="X1" i="26"/>
  <c r="Y1" i="26"/>
  <c r="Z1" i="26"/>
  <c r="AA1" i="26"/>
  <c r="AB1" i="26"/>
  <c r="AC1" i="26"/>
  <c r="AD1" i="26"/>
  <c r="AE1" i="26"/>
  <c r="AF1" i="26"/>
  <c r="AG1" i="26"/>
  <c r="AH1" i="26"/>
  <c r="AI1" i="26"/>
  <c r="AJ1" i="26"/>
  <c r="AK1" i="26"/>
  <c r="AL1" i="26"/>
  <c r="AM1" i="26"/>
  <c r="AN1" i="26"/>
  <c r="AO1" i="26"/>
  <c r="AP1" i="26"/>
  <c r="AQ1" i="26"/>
  <c r="AR1" i="26"/>
  <c r="AS1" i="26"/>
  <c r="AT1" i="26"/>
  <c r="AU1" i="26"/>
  <c r="AV1" i="26"/>
  <c r="AW1" i="26"/>
  <c r="AX1" i="26"/>
  <c r="AY1" i="26"/>
  <c r="AZ1" i="26"/>
  <c r="BA1" i="26"/>
  <c r="BB1" i="26"/>
  <c r="BC1" i="26"/>
  <c r="BD1" i="26"/>
  <c r="BE1" i="26"/>
  <c r="BF1" i="26"/>
  <c r="BG1" i="26"/>
  <c r="BH1" i="26"/>
  <c r="BI1" i="26"/>
  <c r="BJ1" i="26"/>
  <c r="BK1" i="26"/>
  <c r="BL1" i="26"/>
  <c r="BM1" i="26"/>
  <c r="BN1" i="26"/>
  <c r="D1" i="26"/>
  <c r="E1" i="27"/>
  <c r="F1" i="27"/>
  <c r="G1" i="27"/>
  <c r="H1" i="27"/>
  <c r="I1" i="27"/>
  <c r="J1" i="27"/>
  <c r="K1" i="27"/>
  <c r="L1" i="27"/>
  <c r="M1" i="27"/>
  <c r="N1" i="27"/>
  <c r="O1" i="27"/>
  <c r="P1" i="27"/>
  <c r="Q1" i="27"/>
  <c r="R1" i="27"/>
  <c r="S1" i="27"/>
  <c r="T1" i="27"/>
  <c r="U1" i="27"/>
  <c r="V1" i="27"/>
  <c r="W1" i="27"/>
  <c r="X1" i="27"/>
  <c r="Y1" i="27"/>
  <c r="Z1" i="27"/>
  <c r="AA1" i="27"/>
  <c r="AB1" i="27"/>
  <c r="AC1" i="27"/>
  <c r="AD1" i="27"/>
  <c r="AE1" i="27"/>
  <c r="AF1" i="27"/>
  <c r="AG1" i="27"/>
  <c r="AH1" i="27"/>
  <c r="AI1" i="27"/>
  <c r="AJ1" i="27"/>
  <c r="AK1" i="27"/>
  <c r="AL1" i="27"/>
  <c r="AM1" i="27"/>
  <c r="AN1" i="27"/>
  <c r="AO1" i="27"/>
  <c r="AP1" i="27"/>
  <c r="AQ1" i="27"/>
  <c r="AR1" i="27"/>
  <c r="AS1" i="27"/>
  <c r="AT1" i="27"/>
  <c r="AU1" i="27"/>
  <c r="AV1" i="27"/>
  <c r="AW1" i="27"/>
  <c r="AX1" i="27"/>
  <c r="AY1" i="27"/>
  <c r="AZ1" i="27"/>
  <c r="BA1" i="27"/>
  <c r="BB1" i="27"/>
  <c r="BC1" i="27"/>
  <c r="BD1" i="27"/>
  <c r="BE1" i="27"/>
  <c r="BF1" i="27"/>
  <c r="BG1" i="27"/>
  <c r="BH1" i="27"/>
  <c r="BI1" i="27"/>
  <c r="BJ1" i="27"/>
  <c r="BK1" i="27"/>
  <c r="BL1" i="27"/>
  <c r="BM1" i="27"/>
  <c r="BN1" i="27"/>
  <c r="BO1" i="27"/>
  <c r="BP1" i="27"/>
  <c r="BQ1" i="27"/>
  <c r="BR1" i="27"/>
  <c r="BS1" i="27"/>
  <c r="BT1" i="27"/>
  <c r="BU1" i="27"/>
  <c r="BV1" i="27"/>
  <c r="D1" i="27"/>
  <c r="U1" i="28"/>
  <c r="V1" i="28"/>
  <c r="W1" i="28"/>
  <c r="X1" i="28"/>
  <c r="Y1" i="28"/>
  <c r="Z1" i="28"/>
  <c r="AA1" i="28"/>
  <c r="AB1" i="28"/>
  <c r="AC1" i="28"/>
  <c r="AD1" i="28"/>
  <c r="AE1" i="28"/>
  <c r="AF1" i="28"/>
  <c r="AG1" i="28"/>
  <c r="AH1" i="28"/>
  <c r="AI1" i="28"/>
  <c r="AJ1" i="28"/>
  <c r="AK1" i="28"/>
  <c r="AL1" i="28"/>
  <c r="AM1" i="28"/>
  <c r="AN1" i="28"/>
  <c r="AO1" i="28"/>
  <c r="AP1" i="28"/>
  <c r="AQ1" i="28"/>
  <c r="AR1" i="28"/>
  <c r="AS1" i="28"/>
  <c r="AT1" i="28"/>
  <c r="AU1" i="28"/>
  <c r="AV1" i="28"/>
  <c r="AW1" i="28"/>
  <c r="AX1" i="28"/>
  <c r="AY1" i="28"/>
  <c r="AZ1" i="28"/>
  <c r="BA1" i="28"/>
  <c r="BB1" i="28"/>
  <c r="BC1" i="28"/>
  <c r="BD1" i="28"/>
  <c r="BE1" i="28"/>
  <c r="BF1" i="28"/>
  <c r="BG1" i="28"/>
  <c r="BH1" i="28"/>
  <c r="BI1" i="28"/>
  <c r="BJ1" i="28"/>
  <c r="BK1" i="28"/>
  <c r="BL1" i="28"/>
  <c r="BM1" i="28"/>
  <c r="BN1" i="28"/>
  <c r="BO1" i="28"/>
  <c r="BP1" i="28"/>
  <c r="BQ1" i="28"/>
  <c r="BR1" i="28"/>
  <c r="BS1" i="28"/>
  <c r="BT1" i="28"/>
  <c r="BU1" i="28"/>
  <c r="BV1" i="28"/>
  <c r="BW1" i="28"/>
  <c r="BX1" i="28"/>
  <c r="BY1" i="28"/>
  <c r="BZ1" i="28"/>
  <c r="CA1" i="28"/>
  <c r="CB1" i="28"/>
  <c r="CC1" i="28"/>
  <c r="CD1" i="28"/>
  <c r="CE1" i="28"/>
  <c r="CF1" i="28"/>
  <c r="CG1" i="28"/>
  <c r="CH1" i="28"/>
  <c r="CI1" i="28"/>
  <c r="CJ1" i="28"/>
  <c r="CK1" i="28"/>
  <c r="CL1" i="28"/>
  <c r="CM1" i="28"/>
  <c r="CN1" i="28"/>
  <c r="CO1" i="28"/>
  <c r="CP1" i="28"/>
  <c r="CQ1" i="28"/>
  <c r="CR1" i="28"/>
  <c r="CS1" i="28"/>
  <c r="CT1" i="28"/>
  <c r="CU1" i="28"/>
  <c r="CV1" i="28"/>
  <c r="CW1" i="28"/>
  <c r="CX1" i="28"/>
  <c r="CY1" i="28"/>
  <c r="CZ1" i="28"/>
  <c r="DA1" i="28"/>
  <c r="DB1" i="28"/>
  <c r="F1" i="28"/>
  <c r="G1" i="28"/>
  <c r="H1" i="28"/>
  <c r="I1" i="28"/>
  <c r="J1" i="28"/>
  <c r="K1" i="28"/>
  <c r="L1" i="28"/>
  <c r="M1" i="28"/>
  <c r="N1" i="28"/>
  <c r="O1" i="28"/>
  <c r="P1" i="28"/>
  <c r="Q1" i="28"/>
  <c r="R1" i="28"/>
  <c r="S1" i="28"/>
  <c r="T1" i="28"/>
  <c r="D1" i="28"/>
  <c r="E1" i="28"/>
  <c r="CY7" i="28"/>
  <c r="CV7" i="28"/>
  <c r="CS7" i="28"/>
  <c r="CP7" i="28"/>
  <c r="CM7" i="28"/>
  <c r="CJ7" i="28"/>
  <c r="CG7" i="28"/>
  <c r="CD7" i="28"/>
  <c r="CA7" i="28"/>
  <c r="BX7" i="28"/>
  <c r="BU7" i="28"/>
  <c r="BR7" i="28"/>
  <c r="BO7" i="28"/>
  <c r="BL7" i="28"/>
  <c r="BI7" i="28"/>
  <c r="BF7" i="28"/>
  <c r="BC7" i="28"/>
  <c r="AZ7" i="28"/>
  <c r="AW7" i="28"/>
  <c r="AT7" i="28"/>
  <c r="AQ7" i="28"/>
  <c r="AN7" i="28"/>
  <c r="AK7" i="28"/>
  <c r="AH7" i="28"/>
  <c r="AE7" i="28"/>
  <c r="AB7" i="28"/>
  <c r="Y7" i="28"/>
  <c r="AC7" i="29"/>
  <c r="Z7" i="29"/>
  <c r="E3" i="29"/>
  <c r="W7" i="29"/>
  <c r="T7" i="29"/>
  <c r="Q7" i="29"/>
  <c r="N7" i="29"/>
  <c r="K7" i="29"/>
  <c r="H7" i="29"/>
  <c r="D7" i="29"/>
  <c r="B9" i="28"/>
  <c r="V7" i="28"/>
  <c r="S7" i="28"/>
  <c r="P7" i="28"/>
  <c r="M7" i="28"/>
  <c r="J7" i="28"/>
  <c r="G7" i="28"/>
  <c r="D7" i="28"/>
  <c r="B9" i="27"/>
  <c r="D6" i="27"/>
  <c r="V7" i="26"/>
  <c r="S7" i="26"/>
  <c r="P7" i="26"/>
  <c r="M7" i="26"/>
  <c r="J7" i="26"/>
  <c r="G7" i="26"/>
  <c r="D7" i="26"/>
  <c r="B9" i="26"/>
  <c r="K8" i="28"/>
  <c r="AS8" i="26"/>
  <c r="AP8" i="26"/>
  <c r="AH8" i="29"/>
  <c r="Y8" i="26"/>
  <c r="CK8" i="28"/>
  <c r="AX8" i="26"/>
  <c r="AC8" i="28"/>
  <c r="BM8" i="29"/>
  <c r="BY8" i="28"/>
  <c r="N7" i="27"/>
  <c r="AL8" i="29"/>
  <c r="BH8" i="29"/>
  <c r="BF8" i="29"/>
  <c r="AT8" i="26"/>
  <c r="T8" i="26"/>
  <c r="AI8" i="28"/>
  <c r="AU8" i="29"/>
  <c r="AU8" i="28"/>
  <c r="Q8" i="26"/>
  <c r="BE8" i="29"/>
  <c r="Q8" i="28"/>
  <c r="BS7" i="27"/>
  <c r="AO8" i="29"/>
  <c r="N8" i="28"/>
  <c r="BK8" i="29"/>
  <c r="AO7" i="27"/>
  <c r="AA8" i="29"/>
  <c r="BJ8" i="29"/>
  <c r="AX8" i="29"/>
  <c r="BN8" i="29"/>
  <c r="AQ8" i="26"/>
  <c r="Z8" i="28"/>
  <c r="CB8" i="28"/>
  <c r="BJ8" i="26"/>
  <c r="AK8" i="26"/>
  <c r="AY8" i="26"/>
  <c r="BJ7" i="27"/>
  <c r="AF8" i="26"/>
  <c r="BA8" i="28"/>
  <c r="AL8" i="26"/>
  <c r="AZ8" i="26"/>
  <c r="BB8" i="26"/>
  <c r="AG8" i="26"/>
  <c r="BH8" i="26"/>
  <c r="BP7" i="27"/>
  <c r="BE8" i="26"/>
  <c r="BI8" i="29"/>
  <c r="Z8" i="26"/>
  <c r="R8" i="29"/>
  <c r="AD8" i="26"/>
  <c r="BD8" i="29"/>
  <c r="L8" i="29"/>
  <c r="BV7" i="27"/>
  <c r="CQ8" i="28"/>
  <c r="AE8" i="26"/>
  <c r="B10" i="26" a="1"/>
  <c r="CT8" i="28"/>
  <c r="W8" i="28"/>
  <c r="T7" i="27"/>
  <c r="BM8" i="28"/>
  <c r="AC7" i="27"/>
  <c r="B10" i="27" a="1"/>
  <c r="BF8" i="26"/>
  <c r="AW8" i="26"/>
  <c r="W8" i="26"/>
  <c r="AG8" i="29"/>
  <c r="BA7" i="27"/>
  <c r="AF8" i="28"/>
  <c r="AF8" i="29"/>
  <c r="CN8" i="28"/>
  <c r="U8" i="29"/>
  <c r="BI8" i="26"/>
  <c r="K7" i="27"/>
  <c r="K8" i="26"/>
  <c r="CE8" i="28"/>
  <c r="AX8" i="28"/>
  <c r="AP8" i="29"/>
  <c r="BV8" i="28"/>
  <c r="BL8" i="29"/>
  <c r="AV8" i="29"/>
  <c r="A10" i="26" a="1"/>
  <c r="I8" i="29"/>
  <c r="H7" i="27"/>
  <c r="AR8" i="28"/>
  <c r="BJ8" i="28"/>
  <c r="BG7" i="27"/>
  <c r="AI8" i="26"/>
  <c r="AU8" i="26"/>
  <c r="Q7" i="27"/>
  <c r="AB8" i="26"/>
  <c r="BD8" i="26"/>
  <c r="AR8" i="29"/>
  <c r="B10" i="28" a="1"/>
  <c r="AM8" i="29"/>
  <c r="BA8" i="26"/>
  <c r="AL7" i="27"/>
  <c r="AJ8" i="26"/>
  <c r="AA8" i="26"/>
  <c r="BG8" i="29"/>
  <c r="AK8" i="29"/>
  <c r="E8" i="28"/>
  <c r="AF7" i="27"/>
  <c r="AZ8" i="29"/>
  <c r="CW8" i="28"/>
  <c r="CH8" i="28"/>
  <c r="E8" i="29"/>
  <c r="CZ8" i="28"/>
  <c r="AE8" i="29"/>
  <c r="AN8" i="29"/>
  <c r="BP8" i="28"/>
  <c r="AX7" i="27"/>
  <c r="AQ8" i="29"/>
  <c r="AM8" i="26"/>
  <c r="N8" i="26"/>
  <c r="AN8" i="26"/>
  <c r="E8" i="26"/>
  <c r="BC8" i="26"/>
  <c r="BS8" i="28"/>
  <c r="AL8" i="28"/>
  <c r="AD8" i="29"/>
  <c r="AT8" i="29"/>
  <c r="X8" i="29"/>
  <c r="BC8" i="29"/>
  <c r="E7" i="27"/>
  <c r="AY8" i="29"/>
  <c r="AS8" i="29"/>
  <c r="AR8" i="26"/>
  <c r="BA8" i="29"/>
  <c r="AI7" i="27"/>
  <c r="BD8" i="28"/>
  <c r="BG8" i="28"/>
  <c r="AR7" i="27"/>
  <c r="O8" i="29"/>
  <c r="AW8" i="29"/>
  <c r="A10" i="27" a="1"/>
  <c r="BM7" i="27"/>
  <c r="A10" i="28" a="1"/>
  <c r="BG8" i="26"/>
  <c r="AH8" i="26"/>
  <c r="AO8" i="28"/>
  <c r="T8" i="28"/>
  <c r="AI8" i="29"/>
  <c r="AO8" i="26"/>
  <c r="BB8" i="29"/>
  <c r="BD7" i="27"/>
  <c r="H8" i="26"/>
  <c r="AU7" i="27"/>
  <c r="Z7" i="27"/>
  <c r="H8" i="28"/>
  <c r="AJ8" i="29"/>
  <c r="AC8" i="26"/>
  <c r="AV8" i="26"/>
  <c r="W7" i="27"/>
  <c r="H4" i="20" l="1" a="1"/>
  <c r="H4" i="20" s="1"/>
  <c r="E8" i="20" a="1"/>
  <c r="E8" i="20" s="1"/>
  <c r="E6" i="20" a="1"/>
  <c r="E6" i="20" s="1"/>
  <c r="E4" i="20" a="1"/>
  <c r="E4" i="20" s="1"/>
  <c r="D8" i="20" a="1"/>
  <c r="D8" i="20" s="1"/>
  <c r="D6" i="20" a="1"/>
  <c r="D6" i="20" s="1"/>
  <c r="F6" i="20" s="1" a="1"/>
  <c r="F6" i="20" s="1"/>
  <c r="D4" i="20" a="1"/>
  <c r="D4" i="20" s="1"/>
  <c r="F4" i="20" s="1" a="1"/>
  <c r="F4" i="20" s="1"/>
  <c r="I9" i="20" a="1"/>
  <c r="I9" i="20" s="1"/>
  <c r="I7" i="20" a="1"/>
  <c r="I7" i="20" s="1"/>
  <c r="I5" i="20" a="1"/>
  <c r="I5" i="20" s="1"/>
  <c r="H9" i="20" a="1"/>
  <c r="H9" i="20" s="1"/>
  <c r="H7" i="20" a="1"/>
  <c r="H7" i="20" s="1"/>
  <c r="H5" i="20" a="1"/>
  <c r="H5" i="20" s="1"/>
  <c r="E9" i="20" a="1"/>
  <c r="E9" i="20" s="1"/>
  <c r="E7" i="20" a="1"/>
  <c r="E7" i="20" s="1"/>
  <c r="E5" i="20" a="1"/>
  <c r="E5" i="20" s="1"/>
  <c r="H8" i="20" a="1"/>
  <c r="H8" i="20" s="1"/>
  <c r="D9" i="20" a="1"/>
  <c r="D9" i="20" s="1"/>
  <c r="G9" i="20" s="1" a="1"/>
  <c r="G9" i="20" s="1"/>
  <c r="D7" i="20" a="1"/>
  <c r="D7" i="20" s="1"/>
  <c r="G7" i="20" s="1" a="1"/>
  <c r="G7" i="20" s="1"/>
  <c r="D5" i="20" a="1"/>
  <c r="D5" i="20" s="1"/>
  <c r="G5" i="20" s="1" a="1"/>
  <c r="G5" i="20" s="1"/>
  <c r="H6" i="20" a="1"/>
  <c r="H6" i="20" s="1"/>
  <c r="I8" i="20" a="1"/>
  <c r="I8" i="20" s="1"/>
  <c r="I6" i="20" a="1"/>
  <c r="I6" i="20" s="1"/>
  <c r="I4" i="20" a="1"/>
  <c r="I4" i="20" s="1"/>
  <c r="H3" i="20" a="1"/>
  <c r="H3" i="20" s="1"/>
  <c r="A9" i="26"/>
  <c r="I3" i="20" a="1"/>
  <c r="I3" i="20" s="1"/>
  <c r="A9" i="27"/>
  <c r="A9" i="28"/>
  <c r="B10" i="26"/>
  <c r="A10" i="26"/>
  <c r="B10" i="27"/>
  <c r="A10" i="27"/>
  <c r="B10" i="28"/>
  <c r="A10" i="28"/>
  <c r="E3" i="26"/>
  <c r="E3" i="27"/>
  <c r="G4" i="20" a="1"/>
  <c r="G4" i="20" s="1"/>
  <c r="F7" i="20" a="1"/>
  <c r="F7" i="20" s="1"/>
  <c r="F8" i="20" a="1"/>
  <c r="F8" i="20" s="1"/>
  <c r="G8" i="20" a="1"/>
  <c r="G8" i="20" s="1"/>
  <c r="G6" i="20" a="1"/>
  <c r="G6" i="20" s="1"/>
  <c r="E3" i="20" a="1"/>
  <c r="E3" i="20" s="1"/>
  <c r="D3" i="20" a="1"/>
  <c r="D3" i="20" s="1"/>
  <c r="CQ7" i="27"/>
  <c r="CH7" i="27"/>
  <c r="DL7" i="27"/>
  <c r="DI7" i="27"/>
  <c r="CT7" i="27"/>
  <c r="CN7" i="27"/>
  <c r="DF7" i="27"/>
  <c r="CK7" i="27"/>
  <c r="CW7" i="27"/>
  <c r="CZ7" i="27"/>
  <c r="BY7" i="27"/>
  <c r="CB7" i="27"/>
  <c r="DC7" i="27"/>
  <c r="DO7" i="27"/>
  <c r="CE7" i="27"/>
  <c r="F9" i="20" l="1" a="1"/>
  <c r="F9" i="20" s="1"/>
  <c r="F5" i="20" a="1"/>
  <c r="F5" i="20" s="1"/>
  <c r="G3" i="20" a="1"/>
  <c r="G3" i="20" s="1"/>
  <c r="F3" i="20" a="1"/>
  <c r="F3" i="20" s="1"/>
  <c r="E3" i="2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<sst xmlns="http://schemas.openxmlformats.org/spreadsheetml/2006/main" count="615" uniqueCount="329">
  <si>
    <t>Item</t>
  </si>
  <si>
    <t>Description</t>
  </si>
  <si>
    <t>Purpose</t>
  </si>
  <si>
    <t>Assess and quantify data quality issues before migration.</t>
  </si>
  <si>
    <t>Scope</t>
  </si>
  <si>
    <t>Input</t>
  </si>
  <si>
    <t>Step 1</t>
  </si>
  <si>
    <t>Load dataset and normalize column names.</t>
  </si>
  <si>
    <t>Step 2</t>
  </si>
  <si>
    <t>Profile data and identify key fields.</t>
  </si>
  <si>
    <t>Step 3</t>
  </si>
  <si>
    <t>Calculate individual data quality metrics.</t>
  </si>
  <si>
    <t>Step 4</t>
  </si>
  <si>
    <t>Next</t>
  </si>
  <si>
    <t>Share results with stakeholders and define cleansing actions.</t>
  </si>
  <si>
    <t>Column Name</t>
  </si>
  <si>
    <t>Completeness(%)</t>
  </si>
  <si>
    <t>Uniqueness (%)</t>
  </si>
  <si>
    <t>Missing Count</t>
  </si>
  <si>
    <r>
      <rPr>
        <b/>
        <sz val="11"/>
        <color theme="1"/>
        <rFont val="Calibri"/>
        <family val="2"/>
        <scheme val="minor"/>
      </rPr>
      <t>Validity (%)</t>
    </r>
    <r>
      <rPr>
        <sz val="11"/>
        <color theme="1"/>
        <rFont val="Calibri"/>
        <family val="2"/>
        <scheme val="minor"/>
      </rPr>
      <t xml:space="preserve"> measures the proportion of non-blank values that meet defined rules or constraints for a given column.
“Is the data in the correct format or within acceptable limits?”</t>
    </r>
  </si>
  <si>
    <t>Duplicate Count</t>
  </si>
  <si>
    <r>
      <rPr>
        <b/>
        <sz val="11"/>
        <color theme="1"/>
        <rFont val="Calibri"/>
        <family val="2"/>
        <scheme val="minor"/>
      </rPr>
      <t>Uniqueness (%)</t>
    </r>
    <r>
      <rPr>
        <sz val="11"/>
        <color theme="1"/>
        <rFont val="Calibri"/>
        <family val="2"/>
        <scheme val="minor"/>
      </rPr>
      <t xml:space="preserve"> Of the non‑blank values in a column, the percentage that occur exactly once in that column.
             100% means no duplicates among non‑blank rows.
             Lower values indicate duplicate entries exist.</t>
    </r>
  </si>
  <si>
    <t>Data Type</t>
  </si>
  <si>
    <t>Inconsistency Count</t>
  </si>
  <si>
    <t>Formatting Inconsistencies (%)</t>
  </si>
  <si>
    <r>
      <rPr>
        <b/>
        <sz val="11"/>
        <color theme="1"/>
        <rFont val="Calibri"/>
        <family val="2"/>
        <scheme val="minor"/>
      </rPr>
      <t>Formatting Inconsistencies (%)</t>
    </r>
    <r>
      <rPr>
        <sz val="11"/>
        <color theme="1"/>
        <rFont val="Calibri"/>
        <family val="2"/>
        <scheme val="minor"/>
      </rPr>
      <t xml:space="preserve"> Of the non‑blank values in a column, the percentage that contain leading or trailing spaces compared to their trimmed version.
         100% means every non‑blank value has extra spaces.
         Lower values indicate fewer formatting issues.</t>
    </r>
  </si>
  <si>
    <r>
      <t>Completeness (%)</t>
    </r>
    <r>
      <rPr>
        <sz val="11"/>
        <color theme="1"/>
        <rFont val="Calibri"/>
        <family val="2"/>
        <scheme val="minor"/>
      </rPr>
      <t xml:space="preserve"> measures the proportion of data values that are present (non-blank) in a given column compared to the total number of expected rows.</t>
    </r>
    <r>
      <rPr>
        <b/>
        <sz val="11"/>
        <color theme="1"/>
        <rFont val="Calibri"/>
        <family val="2"/>
        <scheme val="minor"/>
      </rPr>
      <t xml:space="preserve">
                 A 100% completeness means every row has a value for that column.
                 A lower percentage means some rows are missing values (blanks or empty).
</t>
    </r>
  </si>
  <si>
    <t>PostCode</t>
  </si>
  <si>
    <t>Text</t>
  </si>
  <si>
    <t>Issues Found</t>
  </si>
  <si>
    <t>Remarks</t>
  </si>
  <si>
    <t>Invalid %</t>
  </si>
  <si>
    <t>Count of Tables with Formatting Inconsistencies :</t>
  </si>
  <si>
    <t>&gt;&gt;&gt;&gt;&gt;&gt;&gt;&gt;&gt;&gt;&gt;&gt;&gt;&gt;&gt;&gt;&gt;&gt;&gt;&gt;&gt;&gt;&gt;&gt;&gt;&gt;&gt;&gt;&gt;&gt;&gt;&gt;&gt;&gt;&gt;&gt;&gt;&gt;&gt;&gt;&gt;&gt;&gt;&gt;&gt;&gt;&gt;&gt;&gt;&gt;</t>
  </si>
  <si>
    <t>SCROLL RIGHT FOR MORE DATA</t>
  </si>
  <si>
    <t>Count of Tables with Duplicate Entries :</t>
  </si>
  <si>
    <t>Count of Tables with Missing Data :</t>
  </si>
  <si>
    <t>Count of Tables with Invalid Data :</t>
  </si>
  <si>
    <t>Name of of field</t>
  </si>
  <si>
    <t>Count</t>
  </si>
  <si>
    <t>Invalid data refers to information that does not meet the required format, structure, or business rules for a given field. This typically means the data is incomplete, incorrect, or does not conform to expected standards. Examples include:
Columns with NO names
Postcodes: Incorrectly formatted, or non-existent codes.
Email Addresses: Missing '@' symbol, invalid domain, or incomplete address.</t>
  </si>
  <si>
    <t>&lt;&lt;ENTER_NAME_OF_RAW_FILE.xlsx&gt;&gt;</t>
  </si>
  <si>
    <t>Raw Data Row Count :</t>
  </si>
  <si>
    <t>Count of Distinct Values</t>
  </si>
  <si>
    <t>Count of Duplicate Values</t>
  </si>
  <si>
    <t>Worksheet Name</t>
  </si>
  <si>
    <t>ID001</t>
  </si>
  <si>
    <t>ID002</t>
  </si>
  <si>
    <t>ID003</t>
  </si>
  <si>
    <t>ID004</t>
  </si>
  <si>
    <t>ID005</t>
  </si>
  <si>
    <t>ID006</t>
  </si>
  <si>
    <t>ID007</t>
  </si>
  <si>
    <t>ID008</t>
  </si>
  <si>
    <t>ID009</t>
  </si>
  <si>
    <t>ID010</t>
  </si>
  <si>
    <t>ID011</t>
  </si>
  <si>
    <t>ID012</t>
  </si>
  <si>
    <t>ID013</t>
  </si>
  <si>
    <t>ID014</t>
  </si>
  <si>
    <t>ID015</t>
  </si>
  <si>
    <t>ID016</t>
  </si>
  <si>
    <t>ID017</t>
  </si>
  <si>
    <t>ID018</t>
  </si>
  <si>
    <t>ID019</t>
  </si>
  <si>
    <t>ID020</t>
  </si>
  <si>
    <t>ID021</t>
  </si>
  <si>
    <t>ID022</t>
  </si>
  <si>
    <t>ID023</t>
  </si>
  <si>
    <t>ID024</t>
  </si>
  <si>
    <t>ID025</t>
  </si>
  <si>
    <t>ID026</t>
  </si>
  <si>
    <t>ID027</t>
  </si>
  <si>
    <t>ID028</t>
  </si>
  <si>
    <t>ID029</t>
  </si>
  <si>
    <t>ID030</t>
  </si>
  <si>
    <t>ID031</t>
  </si>
  <si>
    <t>ID032</t>
  </si>
  <si>
    <t>ID033</t>
  </si>
  <si>
    <t>ID034</t>
  </si>
  <si>
    <t>ID035</t>
  </si>
  <si>
    <t>ID036</t>
  </si>
  <si>
    <t>ID037</t>
  </si>
  <si>
    <t>ID038</t>
  </si>
  <si>
    <t>ID039</t>
  </si>
  <si>
    <t>ID040</t>
  </si>
  <si>
    <t>ID041</t>
  </si>
  <si>
    <t>ID042</t>
  </si>
  <si>
    <t>ID043</t>
  </si>
  <si>
    <t>ID044</t>
  </si>
  <si>
    <t>ID045</t>
  </si>
  <si>
    <t>ID046</t>
  </si>
  <si>
    <t>ID047</t>
  </si>
  <si>
    <t>ID048</t>
  </si>
  <si>
    <t>ID049</t>
  </si>
  <si>
    <t>ID050</t>
  </si>
  <si>
    <t>ID121</t>
  </si>
  <si>
    <t>UniqueID</t>
  </si>
  <si>
    <t>Column6</t>
  </si>
  <si>
    <t>Cell A9 is the Unique ID in Quality Report</t>
  </si>
  <si>
    <t>Ensure the table is not removed</t>
  </si>
  <si>
    <t>Copy and paste source data into 'ReportData' from row 3 with headers</t>
  </si>
  <si>
    <t>Resize table if required</t>
  </si>
  <si>
    <t>Row1 trims any headers with traillng whitespaces - This will need to be copied to row 3</t>
  </si>
  <si>
    <t>&gt;</t>
  </si>
  <si>
    <t>Quality Report' will show the profile of the source data</t>
  </si>
  <si>
    <t>Column headers from 'ReportData' will have to be pasted manually into Column B</t>
  </si>
  <si>
    <t>Column C is a manual entry and defines the data type of each column</t>
  </si>
  <si>
    <t>Column D to I are formula driven and calculated automatically</t>
  </si>
  <si>
    <t>Bcs</t>
  </si>
  <si>
    <t>Invalid Data</t>
  </si>
  <si>
    <t>Provide reasoning for anomalies.</t>
  </si>
  <si>
    <t>Column J to L in 'Quality Data' tab are manual and used to report data issues and next steps</t>
  </si>
  <si>
    <t>Missing Data', 'Duplicates' and 'Formatting' tabs are detailed worksheet showing low level data quality issues</t>
  </si>
  <si>
    <t>For each tab , select 'Clear Report' and then 'Run Report'</t>
  </si>
  <si>
    <r>
      <rPr>
        <sz val="11"/>
        <color rgb="FFFF0000"/>
        <rFont val="Calibri"/>
        <family val="2"/>
        <scheme val="minor"/>
      </rPr>
      <t>UPDATE THIS &gt;&gt;</t>
    </r>
    <r>
      <rPr>
        <sz val="11"/>
        <color theme="1"/>
        <rFont val="Calibri"/>
        <family val="2"/>
        <scheme val="minor"/>
      </rPr>
      <t>Supplier Payment records from Company legacy system.</t>
    </r>
  </si>
  <si>
    <t>Please ensure B3 is a UniqueID</t>
  </si>
  <si>
    <t>CustomerName</t>
  </si>
  <si>
    <t>StartDate</t>
  </si>
  <si>
    <t>Reference</t>
  </si>
  <si>
    <t>Amount</t>
  </si>
  <si>
    <t>Email</t>
  </si>
  <si>
    <t>Oliver Smith</t>
  </si>
  <si>
    <t>REF1001</t>
  </si>
  <si>
    <t>SW1A 1AA</t>
  </si>
  <si>
    <t>oliver.smith@example.com</t>
  </si>
  <si>
    <t>Amelia Jones</t>
  </si>
  <si>
    <t>REF1002</t>
  </si>
  <si>
    <t>EC1A 1BB</t>
  </si>
  <si>
    <t>amelia.jones@example.com</t>
  </si>
  <si>
    <t>Noah Brown</t>
  </si>
  <si>
    <t>REF1003</t>
  </si>
  <si>
    <t>M1 1AE</t>
  </si>
  <si>
    <t>noah.brown@example.com</t>
  </si>
  <si>
    <t>Isla Wilson</t>
  </si>
  <si>
    <t>REF1004</t>
  </si>
  <si>
    <t>B33 8TH</t>
  </si>
  <si>
    <t>isla.wilson@example.com</t>
  </si>
  <si>
    <t>George Taylor</t>
  </si>
  <si>
    <t>REF1005</t>
  </si>
  <si>
    <t>CR2 6XH</t>
  </si>
  <si>
    <t>george.taylor@example.com</t>
  </si>
  <si>
    <t>Ava Davies</t>
  </si>
  <si>
    <t>REF1006</t>
  </si>
  <si>
    <t>DN55 1PT</t>
  </si>
  <si>
    <t>ava.davies@example.com</t>
  </si>
  <si>
    <t>Muhammad Khan</t>
  </si>
  <si>
    <t>REF1007</t>
  </si>
  <si>
    <t>W1A 1HQ</t>
  </si>
  <si>
    <t>muhammad.khan@example.com</t>
  </si>
  <si>
    <t>Sophia Evans</t>
  </si>
  <si>
    <t>REF1008</t>
  </si>
  <si>
    <t>PO16 7GZ</t>
  </si>
  <si>
    <t>sophia.evans@example.com</t>
  </si>
  <si>
    <t>Jack Thomas</t>
  </si>
  <si>
    <t>REF1009</t>
  </si>
  <si>
    <t>GU16 7HF</t>
  </si>
  <si>
    <t>jack.thomas@example.com</t>
  </si>
  <si>
    <t>Emily Roberts</t>
  </si>
  <si>
    <t>REF1010</t>
  </si>
  <si>
    <t>L1 8JQ</t>
  </si>
  <si>
    <t>emily.roberts@example.com</t>
  </si>
  <si>
    <t>REF1011</t>
  </si>
  <si>
    <t>LS1 4AP</t>
  </si>
  <si>
    <t>harry.clark@example.com</t>
  </si>
  <si>
    <t>Charlie Lewis</t>
  </si>
  <si>
    <t>REF1012</t>
  </si>
  <si>
    <t>BS1 5AH</t>
  </si>
  <si>
    <t>charlie.lewis@example.com</t>
  </si>
  <si>
    <t>Lily Walker</t>
  </si>
  <si>
    <t>NE1 4LP</t>
  </si>
  <si>
    <t>lily.walker@example.com</t>
  </si>
  <si>
    <t>Thomas Hall</t>
  </si>
  <si>
    <t>REF1014</t>
  </si>
  <si>
    <t>NG1 2GB</t>
  </si>
  <si>
    <t>thomas.hall@example.com</t>
  </si>
  <si>
    <t>Grace Allen</t>
  </si>
  <si>
    <t>REF1015</t>
  </si>
  <si>
    <t>grace.allen@example.com</t>
  </si>
  <si>
    <t>Henry Young</t>
  </si>
  <si>
    <t>REF1016</t>
  </si>
  <si>
    <t>CF10 1EP</t>
  </si>
  <si>
    <t>Fatima Ahmed</t>
  </si>
  <si>
    <t>REF1017</t>
  </si>
  <si>
    <t>SW1A1AA</t>
  </si>
  <si>
    <t>fatima.ahmed@example.com</t>
  </si>
  <si>
    <t>Leo King</t>
  </si>
  <si>
    <t>REF1018</t>
  </si>
  <si>
    <t>EC1A1BB</t>
  </si>
  <si>
    <t>leo.king@example.com</t>
  </si>
  <si>
    <t>Freya Wright</t>
  </si>
  <si>
    <t>REF1019</t>
  </si>
  <si>
    <t>ZZ99 9ZZ</t>
  </si>
  <si>
    <t>freya.wright@example.com</t>
  </si>
  <si>
    <t>Arthur Scott</t>
  </si>
  <si>
    <t>REF1020</t>
  </si>
  <si>
    <t>arthur.scott@example.com</t>
  </si>
  <si>
    <t>Mia Green</t>
  </si>
  <si>
    <t>REF1021</t>
  </si>
  <si>
    <t>LONDON</t>
  </si>
  <si>
    <t>mia.green@example.com</t>
  </si>
  <si>
    <t>Oscar Baker</t>
  </si>
  <si>
    <t>REF1022</t>
  </si>
  <si>
    <t>E1 6AN</t>
  </si>
  <si>
    <t>Ella Adams</t>
  </si>
  <si>
    <t>REF1023</t>
  </si>
  <si>
    <t>N1 9GU</t>
  </si>
  <si>
    <t>ella.adams.example.com</t>
  </si>
  <si>
    <t>William Nelson</t>
  </si>
  <si>
    <t>REF1024</t>
  </si>
  <si>
    <t>SE1 7PB</t>
  </si>
  <si>
    <t>william@@example.com</t>
  </si>
  <si>
    <t>Rosie Carter</t>
  </si>
  <si>
    <t>REF1025</t>
  </si>
  <si>
    <t>E14 5AB</t>
  </si>
  <si>
    <t>rosie.carter@</t>
  </si>
  <si>
    <t>Adam Mitchell</t>
  </si>
  <si>
    <t>REF1026</t>
  </si>
  <si>
    <t>IG1 1AA</t>
  </si>
  <si>
    <t>adam mitchell@example.com</t>
  </si>
  <si>
    <t>Sophie Perez</t>
  </si>
  <si>
    <t>REF1027</t>
  </si>
  <si>
    <t>HA1 1AA</t>
  </si>
  <si>
    <t>sophie.perez@example</t>
  </si>
  <si>
    <t>Daniel Turner</t>
  </si>
  <si>
    <t>REF1028</t>
  </si>
  <si>
    <t>KT1 1AA</t>
  </si>
  <si>
    <t>daniel.turner@example.cmo</t>
  </si>
  <si>
    <t>Chloe Phillips</t>
  </si>
  <si>
    <t>REF1029</t>
  </si>
  <si>
    <t>RH1 1AA</t>
  </si>
  <si>
    <t>chloe.phillips@example.com</t>
  </si>
  <si>
    <t>Joseph Campbell</t>
  </si>
  <si>
    <t>REF1030</t>
  </si>
  <si>
    <t>BR1 1AA</t>
  </si>
  <si>
    <t>joseph.campbell@example.com</t>
  </si>
  <si>
    <t xml:space="preserve">  Oliver Martin</t>
  </si>
  <si>
    <t>REF1031</t>
  </si>
  <si>
    <t>DA1 1AA</t>
  </si>
  <si>
    <t>oliver.martin@example.com</t>
  </si>
  <si>
    <t xml:space="preserve">Jessica Thompson  </t>
  </si>
  <si>
    <t>REF1032</t>
  </si>
  <si>
    <t>ME1 1AA</t>
  </si>
  <si>
    <t>jessica.thompson@example.com</t>
  </si>
  <si>
    <t>Samuel White</t>
  </si>
  <si>
    <t>REF1033</t>
  </si>
  <si>
    <t>CM1 1AA</t>
  </si>
  <si>
    <t>samuel.white@example.com</t>
  </si>
  <si>
    <t>Hannah Harris</t>
  </si>
  <si>
    <t>REF1034</t>
  </si>
  <si>
    <t>AL1 1AA</t>
  </si>
  <si>
    <t>hannah.harris@example.com</t>
  </si>
  <si>
    <t>David Martin</t>
  </si>
  <si>
    <t>REF1035</t>
  </si>
  <si>
    <t>LU1 1AA</t>
  </si>
  <si>
    <t>david.martin@example.com</t>
  </si>
  <si>
    <t>Sarah Cooper</t>
  </si>
  <si>
    <t>REF1036</t>
  </si>
  <si>
    <t>MK1 1AA</t>
  </si>
  <si>
    <t>sarah.cooper@example.com</t>
  </si>
  <si>
    <t>Ibrahim Ali</t>
  </si>
  <si>
    <t>REF1037</t>
  </si>
  <si>
    <t>OX1 1AA</t>
  </si>
  <si>
    <t>ibrahim.ali@example.com</t>
  </si>
  <si>
    <t>Zara Hussain</t>
  </si>
  <si>
    <t>REF1038</t>
  </si>
  <si>
    <t>CB1 1AA</t>
  </si>
  <si>
    <t>zara.hussain@example.com</t>
  </si>
  <si>
    <t>Benjamin Lee</t>
  </si>
  <si>
    <t>REF1039</t>
  </si>
  <si>
    <t>IP1 1AA</t>
  </si>
  <si>
    <t>benjamin.lee@example.com</t>
  </si>
  <si>
    <t>Lucy Wood</t>
  </si>
  <si>
    <t>REF1040</t>
  </si>
  <si>
    <t>NR1 1AA</t>
  </si>
  <si>
    <t>lucy.wood@example.com</t>
  </si>
  <si>
    <t>Edward Moore</t>
  </si>
  <si>
    <t>REF1041</t>
  </si>
  <si>
    <t>PE1 1AA</t>
  </si>
  <si>
    <t>edward.moore@example.com</t>
  </si>
  <si>
    <t>Charlotte Jackson</t>
  </si>
  <si>
    <t>REF1042</t>
  </si>
  <si>
    <t>LE1 1AA</t>
  </si>
  <si>
    <t>charlotte.jackson@example.com</t>
  </si>
  <si>
    <t>Theo Clarke</t>
  </si>
  <si>
    <t>REF1043</t>
  </si>
  <si>
    <t>DE1 1AA</t>
  </si>
  <si>
    <t>theo.clarke@example.com</t>
  </si>
  <si>
    <t>Maya Patel</t>
  </si>
  <si>
    <t>REF1044</t>
  </si>
  <si>
    <t>CV1 1AA</t>
  </si>
  <si>
    <t>maya.patel@example.com</t>
  </si>
  <si>
    <t>Louis Hill</t>
  </si>
  <si>
    <t>REF1045</t>
  </si>
  <si>
    <t>B1 1AA</t>
  </si>
  <si>
    <t>louis.hill@example.com</t>
  </si>
  <si>
    <t>REF1046</t>
  </si>
  <si>
    <t>WV1 1AA</t>
  </si>
  <si>
    <t>ava.morris@example.com</t>
  </si>
  <si>
    <t>James Ward</t>
  </si>
  <si>
    <t>REF1047</t>
  </si>
  <si>
    <t>DY1 1AA</t>
  </si>
  <si>
    <t>james.ward@example.com</t>
  </si>
  <si>
    <t>Emma Watson</t>
  </si>
  <si>
    <t>WR1 1AA</t>
  </si>
  <si>
    <t>emma.watson@example.com</t>
  </si>
  <si>
    <t>Ryan Brooks</t>
  </si>
  <si>
    <t>REF1049</t>
  </si>
  <si>
    <t>GL1 1AA</t>
  </si>
  <si>
    <t>ryan.brooks@example.com</t>
  </si>
  <si>
    <t>Aisha Rahman</t>
  </si>
  <si>
    <t>REF1050</t>
  </si>
  <si>
    <t>aisha.rahman@example.com</t>
  </si>
  <si>
    <t>Excel VBA Data Quality &amp; Profiling Tool</t>
  </si>
  <si>
    <t>This workbook is an Excel VBA-based data quality and profiling solution designed to analyse datasets before data migration, transformation or reporting.</t>
  </si>
  <si>
    <t>The tool provides automated column-level data quality metrics together with row-level exception reporting, allowing data issues to be quickly identified and investigated.</t>
  </si>
  <si>
    <t>Key Features</t>
  </si>
  <si>
    <t>• Data completeness analysis and missing-value detection</t>
  </si>
  <si>
    <t>• Duplicate identification and uniqueness profiling</t>
  </si>
  <si>
    <t>• Formatting inconsistency checks</t>
  </si>
  <si>
    <t>• Invalid data identification</t>
  </si>
  <si>
    <t>• UK postcode validation using VBA and pattern matching</t>
  </si>
  <si>
    <t>• Email address validation and identification of malformed addresses</t>
  </si>
  <si>
    <t>• Automated exception reports showing the affected source records</t>
  </si>
  <si>
    <t>• Refreshable Email and Postcode validation reports</t>
  </si>
  <si>
    <t>• Dynamic profiling of the columns contained within the ReportData table</t>
  </si>
  <si>
    <t>• VBA-driven navigation between summary metrics and detailed exception records</t>
  </si>
  <si>
    <t>Detailed step by step guide</t>
  </si>
  <si>
    <r>
      <rPr>
        <b/>
        <sz val="11"/>
        <color theme="1"/>
        <rFont val="Calibri"/>
        <family val="2"/>
        <scheme val="minor"/>
      </rPr>
      <t>How to Use</t>
    </r>
    <r>
      <rPr>
        <sz val="11"/>
        <color theme="1"/>
        <rFont val="Calibri"/>
        <family val="2"/>
        <scheme val="minor"/>
      </rPr>
      <t xml:space="preserve">
Paste or load source data into the ReportData table. The Quality Report provides an overview of data-quality metrics across the dataset. Use the supporting exception worksheets to investigate missing data, duplicates, formatting inconsistencies and invalid values.
The </t>
    </r>
    <r>
      <rPr>
        <b/>
        <sz val="11"/>
        <color theme="1"/>
        <rFont val="Calibri"/>
        <family val="2"/>
        <scheme val="minor"/>
      </rPr>
      <t>InvalidEmails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InvalidPostcodes</t>
    </r>
    <r>
      <rPr>
        <sz val="11"/>
        <color theme="1"/>
        <rFont val="Calibri"/>
        <family val="2"/>
        <scheme val="minor"/>
      </rPr>
      <t xml:space="preserve"> worksheets provide dedicated validation reports. Use the refresh buttons on these sheets to rerun the VBA validation against the latest data.
</t>
    </r>
    <r>
      <rPr>
        <b/>
        <sz val="11"/>
        <color theme="1"/>
        <rFont val="Calibri"/>
        <family val="2"/>
        <scheme val="minor"/>
      </rPr>
      <t>Portfolio Version</t>
    </r>
    <r>
      <rPr>
        <sz val="11"/>
        <color theme="1"/>
        <rFont val="Calibri"/>
        <family val="2"/>
        <scheme val="minor"/>
      </rPr>
      <t xml:space="preserve">
This workbook contains fictional demonstration data created specifically for this portfolio. It does not contain confidential, client or production data.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</si>
</sst>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0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0"/>
      <color theme="1"/>
      <name val="Arial Unicode MS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Tahoma"/>
      <family val="2"/>
    </font>
    <font>
      <sz val="10"/>
      <color rgb="FF000000"/>
      <name val="Tahoma"/>
      <family val="2"/>
    </font>
    <font>
      <u/>
      <sz val="10"/>
      <name val="Tahoma"/>
      <family val="2"/>
    </font>
    <font>
      <b/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u/>
      <sz val="10"/>
      <name val="Tahoma"/>
      <family val="2"/>
    </font>
    <font>
      <b/>
      <sz val="1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113">
    <xf numFmtId="0" fontId="0" fillId="0" borderId="0" xfId="0"/>
    <xf numFmtId="0" fontId="1" fillId="0" borderId="0" xfId="0" applyFont="1"/>
    <xf numFmtId="0" fontId="3" fillId="0" borderId="0" xfId="1"/>
    <xf numFmtId="10" fontId="4" fillId="0" borderId="0" xfId="2" applyNumberFormat="1" applyFont="1" applyAlignment="1">
      <alignment vertical="center" wrapText="1"/>
    </xf>
    <xf numFmtId="1" fontId="4" fillId="0" borderId="0" xfId="2" applyNumberFormat="1" applyFont="1" applyAlignment="1">
      <alignment vertical="center" wrapText="1"/>
    </xf>
    <xf numFmtId="10" fontId="0" fillId="0" borderId="0" xfId="2" applyNumberFormat="1" applyFont="1" applyAlignment="1">
      <alignment wrapText="1"/>
    </xf>
    <xf numFmtId="1" fontId="0" fillId="0" borderId="0" xfId="0" applyNumberFormat="1"/>
    <xf numFmtId="0" fontId="2" fillId="2" borderId="1" xfId="0" applyFont="1" applyFill="1" applyBorder="1"/>
    <xf numFmtId="10" fontId="0" fillId="0" borderId="0" xfId="0" applyNumberFormat="1"/>
    <xf numFmtId="0" fontId="2" fillId="3" borderId="0" xfId="0" applyFont="1" applyFill="1"/>
    <xf numFmtId="0" fontId="0" fillId="4" borderId="0" xfId="0" applyFill="1"/>
    <xf numFmtId="0" fontId="7" fillId="4" borderId="0" xfId="0" applyFont="1" applyFill="1"/>
    <xf numFmtId="9" fontId="0" fillId="0" borderId="0" xfId="2" applyFont="1"/>
    <xf numFmtId="0" fontId="0" fillId="7" borderId="2" xfId="0" applyFill="1" applyBorder="1"/>
    <xf numFmtId="0" fontId="0" fillId="7" borderId="3" xfId="0" applyFill="1" applyBorder="1"/>
    <xf numFmtId="10" fontId="0" fillId="0" borderId="0" xfId="2" applyNumberFormat="1" applyFont="1"/>
    <xf numFmtId="0" fontId="2" fillId="0" borderId="0" xfId="0" applyFont="1"/>
    <xf numFmtId="0" fontId="0" fillId="8" borderId="0" xfId="0" applyFill="1"/>
    <xf numFmtId="0" fontId="0" fillId="8" borderId="0" xfId="0" applyFill="1" applyAlignment="1">
      <alignment wrapText="1"/>
    </xf>
    <xf numFmtId="0" fontId="2" fillId="8" borderId="0" xfId="0" applyFont="1" applyFill="1"/>
    <xf numFmtId="0" fontId="9" fillId="0" borderId="0" xfId="0" applyFont="1"/>
    <xf numFmtId="0" fontId="9" fillId="8" borderId="0" xfId="0" applyFont="1" applyFill="1"/>
    <xf numFmtId="0" fontId="2" fillId="9" borderId="0" xfId="0" applyFont="1" applyFill="1"/>
    <xf numFmtId="0" fontId="0" fillId="10" borderId="0" xfId="0" applyFill="1"/>
    <xf numFmtId="0" fontId="0" fillId="11" borderId="0" xfId="0" applyFill="1"/>
    <xf numFmtId="0" fontId="0" fillId="11" borderId="0" xfId="0" applyFill="1" applyAlignment="1">
      <alignment wrapText="1"/>
    </xf>
    <xf numFmtId="0" fontId="9" fillId="11" borderId="0" xfId="0" applyFont="1" applyFill="1"/>
    <xf numFmtId="0" fontId="2" fillId="11" borderId="0" xfId="0" applyFont="1" applyFill="1"/>
    <xf numFmtId="0" fontId="0" fillId="11" borderId="2" xfId="0" applyFill="1" applyBorder="1" applyAlignment="1">
      <alignment horizontal="center"/>
    </xf>
    <xf numFmtId="0" fontId="0" fillId="11" borderId="3" xfId="0" applyFill="1" applyBorder="1"/>
    <xf numFmtId="10" fontId="0" fillId="8" borderId="2" xfId="0" applyNumberFormat="1" applyFill="1" applyBorder="1"/>
    <xf numFmtId="0" fontId="0" fillId="8" borderId="3" xfId="0" applyFill="1" applyBorder="1"/>
    <xf numFmtId="0" fontId="0" fillId="6" borderId="15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0" fillId="12" borderId="0" xfId="0" applyFill="1"/>
    <xf numFmtId="0" fontId="0" fillId="12" borderId="0" xfId="0" applyFill="1" applyAlignment="1">
      <alignment wrapText="1"/>
    </xf>
    <xf numFmtId="0" fontId="9" fillId="12" borderId="0" xfId="0" applyFont="1" applyFill="1"/>
    <xf numFmtId="0" fontId="2" fillId="12" borderId="0" xfId="0" applyFont="1" applyFill="1"/>
    <xf numFmtId="0" fontId="8" fillId="13" borderId="0" xfId="0" applyFont="1" applyFill="1"/>
    <xf numFmtId="0" fontId="4" fillId="12" borderId="1" xfId="0" applyFont="1" applyFill="1" applyBorder="1" applyAlignment="1">
      <alignment vertical="center"/>
    </xf>
    <xf numFmtId="0" fontId="0" fillId="12" borderId="1" xfId="0" applyFill="1" applyBorder="1"/>
    <xf numFmtId="0" fontId="4" fillId="11" borderId="1" xfId="0" applyFont="1" applyFill="1" applyBorder="1" applyAlignment="1">
      <alignment vertical="center"/>
    </xf>
    <xf numFmtId="0" fontId="0" fillId="11" borderId="1" xfId="0" applyFill="1" applyBorder="1"/>
    <xf numFmtId="0" fontId="4" fillId="8" borderId="1" xfId="0" applyFont="1" applyFill="1" applyBorder="1" applyAlignment="1">
      <alignment vertical="center"/>
    </xf>
    <xf numFmtId="0" fontId="0" fillId="8" borderId="1" xfId="0" applyFill="1" applyBorder="1"/>
    <xf numFmtId="0" fontId="7" fillId="12" borderId="0" xfId="0" applyFont="1" applyFill="1"/>
    <xf numFmtId="0" fontId="7" fillId="11" borderId="0" xfId="0" applyFont="1" applyFill="1"/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14" fontId="13" fillId="0" borderId="0" xfId="0" applyNumberFormat="1" applyFont="1" applyAlignment="1">
      <alignment horizontal="left"/>
    </xf>
    <xf numFmtId="0" fontId="13" fillId="0" borderId="0" xfId="0" applyFont="1" applyAlignment="1">
      <alignment horizontal="right"/>
    </xf>
    <xf numFmtId="43" fontId="13" fillId="0" borderId="0" xfId="3" applyFont="1" applyAlignment="1">
      <alignment horizontal="right"/>
    </xf>
    <xf numFmtId="0" fontId="14" fillId="14" borderId="0" xfId="0" applyFont="1" applyFill="1"/>
    <xf numFmtId="0" fontId="3" fillId="14" borderId="0" xfId="1" applyFill="1"/>
    <xf numFmtId="14" fontId="0" fillId="0" borderId="0" xfId="0" applyNumberFormat="1"/>
    <xf numFmtId="0" fontId="15" fillId="0" borderId="0" xfId="0" applyFont="1"/>
    <xf numFmtId="0" fontId="16" fillId="13" borderId="0" xfId="0" applyFont="1" applyFill="1" applyAlignment="1">
      <alignment vertical="center" wrapText="1"/>
    </xf>
    <xf numFmtId="0" fontId="16" fillId="13" borderId="0" xfId="0" applyFont="1" applyFill="1" applyAlignment="1">
      <alignment horizontal="left" vertical="center"/>
    </xf>
    <xf numFmtId="0" fontId="3" fillId="15" borderId="0" xfId="1" applyFill="1"/>
    <xf numFmtId="0" fontId="7" fillId="8" borderId="0" xfId="0" applyFont="1" applyFill="1"/>
    <xf numFmtId="0" fontId="12" fillId="4" borderId="12" xfId="0" applyFont="1" applyFill="1" applyBorder="1" applyAlignment="1">
      <alignment horizontal="left" vertical="top"/>
    </xf>
    <xf numFmtId="0" fontId="12" fillId="4" borderId="13" xfId="0" applyFont="1" applyFill="1" applyBorder="1" applyAlignment="1">
      <alignment horizontal="left" vertical="top"/>
    </xf>
    <xf numFmtId="0" fontId="12" fillId="4" borderId="14" xfId="0" applyFont="1" applyFill="1" applyBorder="1" applyAlignment="1">
      <alignment horizontal="left" vertical="top"/>
    </xf>
    <xf numFmtId="0" fontId="0" fillId="0" borderId="0" xfId="0" applyAlignment="1">
      <alignment horizontal="right"/>
    </xf>
    <xf numFmtId="0" fontId="0" fillId="0" borderId="0" xfId="0" quotePrefix="1"/>
    <xf numFmtId="14" fontId="3" fillId="0" borderId="0" xfId="1" applyNumberFormat="1"/>
    <xf numFmtId="0" fontId="18" fillId="14" borderId="12" xfId="0" applyFont="1" applyFill="1" applyBorder="1"/>
    <xf numFmtId="0" fontId="18" fillId="14" borderId="13" xfId="0" applyFont="1" applyFill="1" applyBorder="1"/>
    <xf numFmtId="0" fontId="18" fillId="14" borderId="14" xfId="0" applyFont="1" applyFill="1" applyBorder="1"/>
    <xf numFmtId="0" fontId="3" fillId="5" borderId="12" xfId="1" applyFill="1" applyBorder="1"/>
    <xf numFmtId="0" fontId="3" fillId="5" borderId="13" xfId="1" applyFill="1" applyBorder="1"/>
    <xf numFmtId="14" fontId="3" fillId="5" borderId="13" xfId="1" applyNumberFormat="1" applyFill="1" applyBorder="1"/>
    <xf numFmtId="0" fontId="3" fillId="5" borderId="14" xfId="1" applyFill="1" applyBorder="1"/>
    <xf numFmtId="0" fontId="3" fillId="0" borderId="12" xfId="1" applyBorder="1"/>
    <xf numFmtId="0" fontId="3" fillId="0" borderId="13" xfId="1" applyBorder="1"/>
    <xf numFmtId="14" fontId="3" fillId="0" borderId="13" xfId="1" applyNumberFormat="1" applyBorder="1"/>
    <xf numFmtId="0" fontId="3" fillId="0" borderId="14" xfId="1" applyBorder="1"/>
    <xf numFmtId="0" fontId="19" fillId="0" borderId="0" xfId="0" applyFon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 wrapText="1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0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4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10" fillId="13" borderId="0" xfId="0" applyFont="1" applyFill="1" applyAlignment="1">
      <alignment horizontal="left" vertical="center" wrapText="1"/>
    </xf>
  </cellXfs>
  <cellStyles count="4">
    <cellStyle name="Comma" xfId="3" builtinId="3"/>
    <cellStyle name="Normal" xfId="0" builtinId="0"/>
    <cellStyle name="Normal 2" xfId="1" xr:uid="{D556345D-8C33-402A-9B33-175863F7AAC4}"/>
    <cellStyle name="Percent" xfId="2" builtinId="5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strike val="0"/>
        <outline val="0"/>
        <shadow val="0"/>
        <vertAlign val="baseline"/>
        <color auto="1"/>
      </font>
      <fill>
        <patternFill patternType="solid">
          <fgColor indexed="64"/>
          <bgColor rgb="FF92D050"/>
        </patternFill>
      </fill>
      <alignment horizontal="general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FF99"/>
      <color rgb="FFFF99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2324100</xdr:colOff>
          <xdr:row>0</xdr:row>
          <xdr:rowOff>63500</xdr:rowOff>
        </xdr:from>
        <xdr:to>
          <xdr:col>1</xdr:col>
          <xdr:colOff>3238500</xdr:colOff>
          <xdr:row>1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57150</xdr:rowOff>
        </xdr:from>
        <xdr:to>
          <xdr:col>1</xdr:col>
          <xdr:colOff>939800</xdr:colOff>
          <xdr:row>1</xdr:row>
          <xdr:rowOff>127000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57150</xdr:rowOff>
        </xdr:from>
        <xdr:to>
          <xdr:col>1</xdr:col>
          <xdr:colOff>946150</xdr:colOff>
          <xdr:row>1</xdr:row>
          <xdr:rowOff>120650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4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2324100</xdr:colOff>
          <xdr:row>0</xdr:row>
          <xdr:rowOff>63500</xdr:rowOff>
        </xdr:from>
        <xdr:to>
          <xdr:col>1</xdr:col>
          <xdr:colOff>3238500</xdr:colOff>
          <xdr:row>1</xdr:row>
          <xdr:rowOff>133350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2324100</xdr:colOff>
          <xdr:row>0</xdr:row>
          <xdr:rowOff>63500</xdr:rowOff>
        </xdr:from>
        <xdr:to>
          <xdr:col>1</xdr:col>
          <xdr:colOff>3238500</xdr:colOff>
          <xdr:row>1</xdr:row>
          <xdr:rowOff>133350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0</xdr:row>
          <xdr:rowOff>57150</xdr:rowOff>
        </xdr:from>
        <xdr:to>
          <xdr:col>1</xdr:col>
          <xdr:colOff>939800</xdr:colOff>
          <xdr:row>1</xdr:row>
          <xdr:rowOff>127000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292100</xdr:colOff>
          <xdr:row>0</xdr:row>
          <xdr:rowOff>38100</xdr:rowOff>
        </xdr:from>
        <xdr:to>
          <xdr:col>14</xdr:col>
          <xdr:colOff>6350</xdr:colOff>
          <xdr:row>1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Invalid Emails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0</xdr:row>
          <xdr:rowOff>57150</xdr:rowOff>
        </xdr:from>
        <xdr:to>
          <xdr:col>7</xdr:col>
          <xdr:colOff>596900</xdr:colOff>
          <xdr:row>1</xdr:row>
          <xdr:rowOff>146050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Invalid Postcodes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4FFF4A-2F22-494F-9F6C-B0323CA8D13B}" name="ReportData" displayName="ReportData" ref="A3:G53" totalsRowShown="0" headerRowDxfId="33">
  <autoFilter ref="A3:G53" xr:uid="{00000000-0009-0000-0100-000001000000}"/>
  <tableColumns count="7">
    <tableColumn id="1" xr3:uid="{019D6602-5B02-43EE-974B-F20594DB92E2}" name="UniqueID"/>
    <tableColumn id="2" xr3:uid="{6FC75114-F3D3-4709-A251-B64CBEEAA777}" name="CustomerName"/>
    <tableColumn id="3" xr3:uid="{BBB5699D-7AA3-4C3F-983F-59D9BBA42ED6}" name="StartDate"/>
    <tableColumn id="4" xr3:uid="{62978BCD-85C8-479F-B1C8-68BA78911A5C}" name="Reference"/>
    <tableColumn id="5" xr3:uid="{92E6315F-B964-48C8-93B9-D0097E96DCB5}" name="Amount"/>
    <tableColumn id="6" xr3:uid="{BEC83085-4E80-4531-BD5F-B3B475C4D59A}" name="PostCode"/>
    <tableColumn id="7" xr3:uid="{C04B72CC-E391-4427-8A2D-864A7CB98887}" name="Email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V40"/>
  <sheetViews>
    <sheetView tabSelected="1" workbookViewId="0">
      <selection activeCell="M20" sqref="M20"/>
    </sheetView>
  </sheetViews>
  <sheetFormatPr defaultRowHeight="14.5"/>
  <sheetData>
    <row r="1" spans="1:22" ht="18.5">
      <c r="A1" s="79" t="s">
        <v>313</v>
      </c>
      <c r="B1" s="79"/>
      <c r="C1" s="79"/>
    </row>
    <row r="2" spans="1:22" ht="18.5">
      <c r="A2" t="s">
        <v>314</v>
      </c>
      <c r="B2" s="79"/>
      <c r="C2" s="79"/>
    </row>
    <row r="3" spans="1:22" ht="18.5">
      <c r="B3" s="79"/>
      <c r="C3" s="79"/>
    </row>
    <row r="4" spans="1:22" ht="18.5">
      <c r="A4" t="s">
        <v>315</v>
      </c>
      <c r="B4" s="79"/>
      <c r="C4" s="79"/>
    </row>
    <row r="5" spans="1:22" ht="18.5">
      <c r="B5" s="79"/>
      <c r="C5" s="79"/>
    </row>
    <row r="6" spans="1:22" ht="18.5">
      <c r="A6" s="16" t="s">
        <v>316</v>
      </c>
      <c r="B6" s="79"/>
      <c r="C6" s="79"/>
      <c r="K6" s="80" t="s">
        <v>328</v>
      </c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</row>
    <row r="7" spans="1:22" ht="18.5">
      <c r="B7" s="79"/>
      <c r="C7" s="79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</row>
    <row r="8" spans="1:22" ht="18.5">
      <c r="A8" t="s">
        <v>317</v>
      </c>
      <c r="B8" s="79"/>
      <c r="C8" s="79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</row>
    <row r="9" spans="1:22" ht="18.5">
      <c r="A9" t="s">
        <v>318</v>
      </c>
      <c r="B9" s="79"/>
      <c r="C9" s="79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</row>
    <row r="10" spans="1:22" ht="18.5">
      <c r="A10" t="s">
        <v>319</v>
      </c>
      <c r="B10" s="79"/>
      <c r="C10" s="79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</row>
    <row r="11" spans="1:22" ht="18.5">
      <c r="A11" t="s">
        <v>320</v>
      </c>
      <c r="B11" s="79"/>
      <c r="C11" s="79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</row>
    <row r="12" spans="1:22" ht="18.5">
      <c r="A12" t="s">
        <v>321</v>
      </c>
      <c r="B12" s="79"/>
      <c r="C12" s="79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</row>
    <row r="13" spans="1:22" ht="18.5">
      <c r="A13" t="s">
        <v>322</v>
      </c>
      <c r="B13" s="79"/>
      <c r="C13" s="79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</row>
    <row r="14" spans="1:22" ht="18.5">
      <c r="A14" t="s">
        <v>323</v>
      </c>
      <c r="B14" s="79"/>
      <c r="C14" s="79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</row>
    <row r="15" spans="1:22" ht="18.5">
      <c r="A15" t="s">
        <v>324</v>
      </c>
      <c r="B15" s="79"/>
      <c r="C15" s="79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</row>
    <row r="16" spans="1:22" ht="18.5">
      <c r="A16" t="s">
        <v>325</v>
      </c>
      <c r="B16" s="79"/>
      <c r="C16" s="79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</row>
    <row r="17" spans="1:22" ht="18.5">
      <c r="A17" t="s">
        <v>326</v>
      </c>
      <c r="B17" s="79"/>
      <c r="C17" s="79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</row>
    <row r="18" spans="1:22" ht="18.5">
      <c r="A18" s="79"/>
      <c r="B18" s="79"/>
      <c r="C18" s="79"/>
    </row>
    <row r="19" spans="1:22">
      <c r="A19" t="s">
        <v>327</v>
      </c>
    </row>
    <row r="20" spans="1:22">
      <c r="A20" s="1" t="s">
        <v>0</v>
      </c>
      <c r="B20" s="1" t="s">
        <v>1</v>
      </c>
    </row>
    <row r="21" spans="1:22">
      <c r="A21" t="s">
        <v>2</v>
      </c>
      <c r="B21" t="s">
        <v>3</v>
      </c>
    </row>
    <row r="22" spans="1:22">
      <c r="A22" t="s">
        <v>4</v>
      </c>
      <c r="B22" t="s">
        <v>115</v>
      </c>
    </row>
    <row r="23" spans="1:22">
      <c r="A23" s="16" t="s">
        <v>5</v>
      </c>
      <c r="B23" s="57" t="s">
        <v>41</v>
      </c>
      <c r="C23" s="16"/>
      <c r="D23" s="16"/>
      <c r="E23" s="16"/>
    </row>
    <row r="24" spans="1:22">
      <c r="A24" s="16" t="s">
        <v>6</v>
      </c>
      <c r="B24" s="16" t="s">
        <v>7</v>
      </c>
    </row>
    <row r="25" spans="1:22">
      <c r="B25" s="65" t="s">
        <v>104</v>
      </c>
      <c r="C25" t="s">
        <v>101</v>
      </c>
    </row>
    <row r="26" spans="1:22">
      <c r="B26" s="65" t="s">
        <v>104</v>
      </c>
      <c r="C26" t="s">
        <v>100</v>
      </c>
    </row>
    <row r="27" spans="1:22">
      <c r="B27" s="65" t="s">
        <v>104</v>
      </c>
      <c r="C27" t="s">
        <v>102</v>
      </c>
    </row>
    <row r="28" spans="1:22">
      <c r="B28" s="65" t="s">
        <v>104</v>
      </c>
      <c r="C28" t="s">
        <v>103</v>
      </c>
    </row>
    <row r="29" spans="1:22" s="16" customFormat="1">
      <c r="A29" s="16" t="s">
        <v>8</v>
      </c>
      <c r="B29" s="16" t="s">
        <v>9</v>
      </c>
    </row>
    <row r="30" spans="1:22">
      <c r="B30" s="65" t="s">
        <v>104</v>
      </c>
      <c r="C30" s="66" t="s">
        <v>105</v>
      </c>
    </row>
    <row r="31" spans="1:22">
      <c r="B31" s="65" t="s">
        <v>104</v>
      </c>
      <c r="C31" t="s">
        <v>106</v>
      </c>
    </row>
    <row r="32" spans="1:22">
      <c r="B32" s="65" t="s">
        <v>104</v>
      </c>
      <c r="C32" t="s">
        <v>116</v>
      </c>
    </row>
    <row r="33" spans="1:3">
      <c r="B33" s="65" t="s">
        <v>104</v>
      </c>
      <c r="C33" t="s">
        <v>107</v>
      </c>
    </row>
    <row r="34" spans="1:3">
      <c r="B34" s="65" t="s">
        <v>104</v>
      </c>
      <c r="C34" t="s">
        <v>108</v>
      </c>
    </row>
    <row r="35" spans="1:3" s="16" customFormat="1">
      <c r="A35" s="16" t="s">
        <v>10</v>
      </c>
      <c r="B35" s="16" t="s">
        <v>11</v>
      </c>
    </row>
    <row r="36" spans="1:3" s="16" customFormat="1">
      <c r="B36" s="65" t="s">
        <v>104</v>
      </c>
      <c r="C36" s="66" t="s">
        <v>113</v>
      </c>
    </row>
    <row r="37" spans="1:3">
      <c r="B37" s="65" t="s">
        <v>104</v>
      </c>
      <c r="C37" s="66" t="s">
        <v>114</v>
      </c>
    </row>
    <row r="38" spans="1:3" s="16" customFormat="1">
      <c r="A38" s="16" t="s">
        <v>12</v>
      </c>
      <c r="B38" s="16" t="s">
        <v>111</v>
      </c>
    </row>
    <row r="39" spans="1:3">
      <c r="B39" s="65" t="s">
        <v>104</v>
      </c>
      <c r="C39" t="s">
        <v>112</v>
      </c>
    </row>
    <row r="40" spans="1:3">
      <c r="A40" t="s">
        <v>13</v>
      </c>
      <c r="B40" t="s">
        <v>14</v>
      </c>
    </row>
  </sheetData>
  <mergeCells count="1">
    <mergeCell ref="K6:V17"/>
  </mergeCell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53736-FE43-4658-9873-AB8A39FE36F9}">
  <sheetPr codeName="Sheet1"/>
  <dimension ref="A1:G53"/>
  <sheetViews>
    <sheetView workbookViewId="0"/>
  </sheetViews>
  <sheetFormatPr defaultRowHeight="14.5"/>
  <cols>
    <col min="1" max="1" width="31.36328125" style="2" customWidth="1"/>
    <col min="2" max="2" width="34.36328125" style="2" customWidth="1"/>
    <col min="3" max="3" width="36.81640625" style="2" bestFit="1" customWidth="1"/>
    <col min="4" max="4" width="38.453125" style="2" bestFit="1" customWidth="1"/>
    <col min="5" max="5" width="30.26953125" style="2" bestFit="1" customWidth="1"/>
    <col min="6" max="6" width="29.7265625" style="2" bestFit="1" customWidth="1"/>
    <col min="7" max="7" width="31.26953125" style="2" customWidth="1"/>
    <col min="8" max="16384" width="8.7265625" style="2"/>
  </cols>
  <sheetData>
    <row r="1" spans="1:7">
      <c r="A1" s="2" t="str">
        <f>TRIM(CLEAN(SUBSTITUTE(ReportData[[#Headers],[UniqueID]],CHAR(160)," ")))</f>
        <v>UniqueID</v>
      </c>
      <c r="B1" s="2" t="str">
        <f>TRIM(CLEAN(SUBSTITUTE(ReportData[[#Headers],[CustomerName]],CHAR(160)," ")))</f>
        <v>CustomerName</v>
      </c>
      <c r="C1" s="2" t="str">
        <f>TRIM(CLEAN(SUBSTITUTE(ReportData[[#Headers],[StartDate]],CHAR(160)," ")))</f>
        <v>StartDate</v>
      </c>
      <c r="D1" s="2" t="str">
        <f>TRIM(CLEAN(SUBSTITUTE(ReportData[[#Headers],[Reference]],CHAR(160)," ")))</f>
        <v>Reference</v>
      </c>
      <c r="E1" s="2" t="str">
        <f>TRIM(CLEAN(SUBSTITUTE(ReportData[[#Headers],[Amount]],CHAR(160)," ")))</f>
        <v>Amount</v>
      </c>
      <c r="F1" s="2" t="str">
        <f>TRIM(CLEAN(SUBSTITUTE(ReportData[[#Headers],[PostCode]],CHAR(160)," ")))</f>
        <v>PostCode</v>
      </c>
      <c r="G1" s="2" t="str">
        <f>TRIM(CLEAN(SUBSTITUTE(ReportData[[#Headers],[Email]],CHAR(160)," ")))</f>
        <v>Email</v>
      </c>
    </row>
    <row r="2" spans="1:7" s="60" customFormat="1"/>
    <row r="3" spans="1:7" s="55" customFormat="1">
      <c r="A3" s="54" t="s">
        <v>97</v>
      </c>
      <c r="B3" s="54" t="s">
        <v>117</v>
      </c>
      <c r="C3" s="54" t="s">
        <v>118</v>
      </c>
      <c r="D3" s="54" t="s">
        <v>119</v>
      </c>
      <c r="E3" s="54" t="s">
        <v>120</v>
      </c>
      <c r="F3" s="54" t="s">
        <v>27</v>
      </c>
      <c r="G3" s="54" t="s">
        <v>121</v>
      </c>
    </row>
    <row r="4" spans="1:7">
      <c r="A4" s="50" t="s">
        <v>46</v>
      </c>
      <c r="B4" s="50" t="s">
        <v>122</v>
      </c>
      <c r="C4" s="51">
        <v>46023</v>
      </c>
      <c r="D4" s="52" t="s">
        <v>123</v>
      </c>
      <c r="E4" s="53">
        <v>1250</v>
      </c>
      <c r="F4" s="50" t="s">
        <v>124</v>
      </c>
      <c r="G4" s="49" t="s">
        <v>125</v>
      </c>
    </row>
    <row r="5" spans="1:7">
      <c r="A5" s="50" t="s">
        <v>47</v>
      </c>
      <c r="B5" s="50" t="s">
        <v>126</v>
      </c>
      <c r="C5" s="51">
        <v>46025</v>
      </c>
      <c r="D5" s="52" t="s">
        <v>127</v>
      </c>
      <c r="E5" s="53">
        <v>875.5</v>
      </c>
      <c r="F5" s="50" t="s">
        <v>128</v>
      </c>
      <c r="G5" s="49" t="s">
        <v>129</v>
      </c>
    </row>
    <row r="6" spans="1:7">
      <c r="A6" s="2" t="s">
        <v>48</v>
      </c>
      <c r="B6" s="2" t="s">
        <v>130</v>
      </c>
      <c r="C6" s="67">
        <v>46027</v>
      </c>
      <c r="D6" s="2" t="s">
        <v>131</v>
      </c>
      <c r="E6" s="2">
        <v>420</v>
      </c>
      <c r="F6" s="2" t="s">
        <v>132</v>
      </c>
      <c r="G6" s="2" t="s">
        <v>133</v>
      </c>
    </row>
    <row r="7" spans="1:7">
      <c r="A7" s="2" t="s">
        <v>49</v>
      </c>
      <c r="B7" s="2" t="s">
        <v>134</v>
      </c>
      <c r="C7" s="67">
        <v>46030</v>
      </c>
      <c r="D7" s="2" t="s">
        <v>135</v>
      </c>
      <c r="E7" s="2">
        <v>1560.75</v>
      </c>
      <c r="F7" s="2" t="s">
        <v>136</v>
      </c>
      <c r="G7" s="2" t="s">
        <v>137</v>
      </c>
    </row>
    <row r="8" spans="1:7">
      <c r="A8" s="2" t="s">
        <v>50</v>
      </c>
      <c r="B8" s="2" t="s">
        <v>138</v>
      </c>
      <c r="C8" s="67">
        <v>46032</v>
      </c>
      <c r="D8" s="2" t="s">
        <v>139</v>
      </c>
      <c r="E8" s="2">
        <v>930</v>
      </c>
      <c r="F8" s="2" t="s">
        <v>140</v>
      </c>
      <c r="G8" s="2" t="s">
        <v>141</v>
      </c>
    </row>
    <row r="9" spans="1:7">
      <c r="A9" s="2" t="s">
        <v>51</v>
      </c>
      <c r="B9" s="2" t="s">
        <v>142</v>
      </c>
      <c r="C9" s="67">
        <v>46034</v>
      </c>
      <c r="D9" s="2" t="s">
        <v>143</v>
      </c>
      <c r="E9" s="2">
        <v>710.25</v>
      </c>
      <c r="F9" s="2" t="s">
        <v>144</v>
      </c>
      <c r="G9" s="2" t="s">
        <v>145</v>
      </c>
    </row>
    <row r="10" spans="1:7">
      <c r="A10" s="2" t="s">
        <v>52</v>
      </c>
      <c r="B10" s="2" t="s">
        <v>146</v>
      </c>
      <c r="C10" s="67">
        <v>46037</v>
      </c>
      <c r="D10" s="2" t="s">
        <v>147</v>
      </c>
      <c r="E10" s="2">
        <v>1100</v>
      </c>
      <c r="F10" s="2" t="s">
        <v>148</v>
      </c>
      <c r="G10" s="2" t="s">
        <v>149</v>
      </c>
    </row>
    <row r="11" spans="1:7">
      <c r="A11" s="2" t="s">
        <v>53</v>
      </c>
      <c r="B11" s="2" t="s">
        <v>150</v>
      </c>
      <c r="C11" s="67">
        <v>46040</v>
      </c>
      <c r="D11" s="2" t="s">
        <v>151</v>
      </c>
      <c r="E11" s="2">
        <v>645.79999999999995</v>
      </c>
      <c r="F11" s="2" t="s">
        <v>152</v>
      </c>
      <c r="G11" s="2" t="s">
        <v>153</v>
      </c>
    </row>
    <row r="12" spans="1:7">
      <c r="A12" s="2" t="s">
        <v>54</v>
      </c>
      <c r="B12" s="2" t="s">
        <v>154</v>
      </c>
      <c r="C12" s="67">
        <v>46042</v>
      </c>
      <c r="D12" s="2" t="s">
        <v>155</v>
      </c>
      <c r="E12" s="2">
        <v>800</v>
      </c>
      <c r="F12" s="2" t="s">
        <v>156</v>
      </c>
      <c r="G12" s="2" t="s">
        <v>157</v>
      </c>
    </row>
    <row r="13" spans="1:7">
      <c r="A13" s="2" t="s">
        <v>55</v>
      </c>
      <c r="B13" s="2" t="s">
        <v>158</v>
      </c>
      <c r="C13" s="67">
        <v>46044</v>
      </c>
      <c r="D13" s="2" t="s">
        <v>159</v>
      </c>
      <c r="E13" s="2">
        <v>975.4</v>
      </c>
      <c r="F13" s="2" t="s">
        <v>160</v>
      </c>
      <c r="G13" s="2" t="s">
        <v>161</v>
      </c>
    </row>
    <row r="14" spans="1:7">
      <c r="A14" s="2" t="s">
        <v>56</v>
      </c>
      <c r="C14" s="67">
        <v>46047</v>
      </c>
      <c r="D14" s="2" t="s">
        <v>162</v>
      </c>
      <c r="E14" s="2">
        <v>520</v>
      </c>
      <c r="F14" s="2" t="s">
        <v>163</v>
      </c>
      <c r="G14" s="2" t="s">
        <v>164</v>
      </c>
    </row>
    <row r="15" spans="1:7">
      <c r="A15" s="2" t="s">
        <v>57</v>
      </c>
      <c r="B15" s="2" t="s">
        <v>165</v>
      </c>
      <c r="D15" s="2" t="s">
        <v>166</v>
      </c>
      <c r="E15" s="2">
        <v>680</v>
      </c>
      <c r="F15" s="2" t="s">
        <v>167</v>
      </c>
      <c r="G15" s="2" t="s">
        <v>168</v>
      </c>
    </row>
    <row r="16" spans="1:7">
      <c r="A16" s="2" t="s">
        <v>58</v>
      </c>
      <c r="B16" s="2" t="s">
        <v>169</v>
      </c>
      <c r="C16" s="67">
        <v>46051</v>
      </c>
      <c r="E16" s="2">
        <v>740</v>
      </c>
      <c r="F16" s="2" t="s">
        <v>170</v>
      </c>
      <c r="G16" s="2" t="s">
        <v>171</v>
      </c>
    </row>
    <row r="17" spans="1:7">
      <c r="A17" s="2" t="s">
        <v>59</v>
      </c>
      <c r="B17" s="2" t="s">
        <v>172</v>
      </c>
      <c r="C17" s="67">
        <v>46054</v>
      </c>
      <c r="D17" s="2" t="s">
        <v>173</v>
      </c>
      <c r="F17" s="2" t="s">
        <v>174</v>
      </c>
      <c r="G17" s="2" t="s">
        <v>175</v>
      </c>
    </row>
    <row r="18" spans="1:7">
      <c r="A18" s="2" t="s">
        <v>60</v>
      </c>
      <c r="B18" s="2" t="s">
        <v>176</v>
      </c>
      <c r="C18" s="67">
        <v>46056</v>
      </c>
      <c r="D18" s="2" t="s">
        <v>177</v>
      </c>
      <c r="E18" s="2">
        <v>890</v>
      </c>
      <c r="G18" s="2" t="s">
        <v>178</v>
      </c>
    </row>
    <row r="19" spans="1:7">
      <c r="A19" s="2" t="s">
        <v>61</v>
      </c>
      <c r="B19" s="2" t="s">
        <v>179</v>
      </c>
      <c r="C19" s="67">
        <v>46058</v>
      </c>
      <c r="D19" s="2" t="s">
        <v>180</v>
      </c>
      <c r="E19" s="2">
        <v>1125</v>
      </c>
      <c r="F19" s="2" t="s">
        <v>181</v>
      </c>
    </row>
    <row r="20" spans="1:7">
      <c r="A20" s="2" t="s">
        <v>62</v>
      </c>
      <c r="B20" s="2" t="s">
        <v>182</v>
      </c>
      <c r="C20" s="67">
        <v>46061</v>
      </c>
      <c r="D20" s="2" t="s">
        <v>183</v>
      </c>
      <c r="E20" s="2">
        <v>650</v>
      </c>
      <c r="F20" s="2" t="s">
        <v>184</v>
      </c>
      <c r="G20" s="2" t="s">
        <v>185</v>
      </c>
    </row>
    <row r="21" spans="1:7">
      <c r="A21" s="2" t="s">
        <v>63</v>
      </c>
      <c r="B21" s="2" t="s">
        <v>186</v>
      </c>
      <c r="C21" s="67">
        <v>46063</v>
      </c>
      <c r="D21" s="2" t="s">
        <v>187</v>
      </c>
      <c r="E21" s="2">
        <v>775</v>
      </c>
      <c r="F21" s="2" t="s">
        <v>188</v>
      </c>
      <c r="G21" s="2" t="s">
        <v>189</v>
      </c>
    </row>
    <row r="22" spans="1:7">
      <c r="A22" s="2" t="s">
        <v>64</v>
      </c>
      <c r="B22" s="2" t="s">
        <v>190</v>
      </c>
      <c r="C22" s="67">
        <v>46065</v>
      </c>
      <c r="D22" s="2" t="s">
        <v>191</v>
      </c>
      <c r="E22" s="2">
        <v>980</v>
      </c>
      <c r="F22" s="2" t="s">
        <v>192</v>
      </c>
      <c r="G22" s="2" t="s">
        <v>193</v>
      </c>
    </row>
    <row r="23" spans="1:7">
      <c r="A23" s="2" t="s">
        <v>65</v>
      </c>
      <c r="B23" s="2" t="s">
        <v>194</v>
      </c>
      <c r="C23" s="67">
        <v>46068</v>
      </c>
      <c r="D23" s="2" t="s">
        <v>195</v>
      </c>
      <c r="E23" s="2">
        <v>1350</v>
      </c>
      <c r="F23" s="2">
        <v>12345</v>
      </c>
      <c r="G23" s="2" t="s">
        <v>196</v>
      </c>
    </row>
    <row r="24" spans="1:7">
      <c r="A24" s="2" t="s">
        <v>66</v>
      </c>
      <c r="B24" s="2" t="s">
        <v>197</v>
      </c>
      <c r="C24" s="67">
        <v>46070</v>
      </c>
      <c r="D24" s="2" t="s">
        <v>198</v>
      </c>
      <c r="E24" s="2">
        <v>450</v>
      </c>
      <c r="F24" s="2" t="s">
        <v>199</v>
      </c>
      <c r="G24" s="2" t="s">
        <v>200</v>
      </c>
    </row>
    <row r="25" spans="1:7">
      <c r="A25" s="2" t="s">
        <v>67</v>
      </c>
      <c r="B25" s="2" t="s">
        <v>201</v>
      </c>
      <c r="C25" s="67">
        <v>46073</v>
      </c>
      <c r="D25" s="2" t="s">
        <v>202</v>
      </c>
      <c r="E25" s="2">
        <v>825</v>
      </c>
      <c r="F25" s="2" t="s">
        <v>203</v>
      </c>
      <c r="G25" s="2" t="s">
        <v>200</v>
      </c>
    </row>
    <row r="26" spans="1:7">
      <c r="A26" s="2" t="s">
        <v>68</v>
      </c>
      <c r="B26" s="2" t="s">
        <v>204</v>
      </c>
      <c r="C26" s="67">
        <v>46075</v>
      </c>
      <c r="D26" s="2" t="s">
        <v>205</v>
      </c>
      <c r="E26" s="2">
        <v>995</v>
      </c>
      <c r="F26" s="2" t="s">
        <v>206</v>
      </c>
      <c r="G26" s="2" t="s">
        <v>207</v>
      </c>
    </row>
    <row r="27" spans="1:7">
      <c r="A27" s="2" t="s">
        <v>69</v>
      </c>
      <c r="B27" s="2" t="s">
        <v>208</v>
      </c>
      <c r="C27" s="67">
        <v>46077</v>
      </c>
      <c r="D27" s="2" t="s">
        <v>209</v>
      </c>
      <c r="E27" s="2">
        <v>1200</v>
      </c>
      <c r="F27" s="2" t="s">
        <v>210</v>
      </c>
      <c r="G27" s="2" t="s">
        <v>211</v>
      </c>
    </row>
    <row r="28" spans="1:7">
      <c r="A28" s="2" t="s">
        <v>70</v>
      </c>
      <c r="B28" s="2" t="s">
        <v>212</v>
      </c>
      <c r="C28" s="67">
        <v>46080</v>
      </c>
      <c r="D28" s="2" t="s">
        <v>213</v>
      </c>
      <c r="E28" s="2">
        <v>560</v>
      </c>
      <c r="F28" s="2" t="s">
        <v>214</v>
      </c>
      <c r="G28" s="2" t="s">
        <v>215</v>
      </c>
    </row>
    <row r="29" spans="1:7">
      <c r="A29" s="2" t="s">
        <v>71</v>
      </c>
      <c r="B29" s="2" t="s">
        <v>216</v>
      </c>
      <c r="C29" s="67">
        <v>46082</v>
      </c>
      <c r="D29" s="2" t="s">
        <v>217</v>
      </c>
      <c r="E29" s="2">
        <v>760</v>
      </c>
      <c r="F29" s="2" t="s">
        <v>218</v>
      </c>
      <c r="G29" s="2" t="s">
        <v>219</v>
      </c>
    </row>
    <row r="30" spans="1:7">
      <c r="A30" s="2" t="s">
        <v>72</v>
      </c>
      <c r="B30" s="2" t="s">
        <v>220</v>
      </c>
      <c r="C30" s="67">
        <v>46084</v>
      </c>
      <c r="D30" s="2" t="s">
        <v>221</v>
      </c>
      <c r="E30" s="2">
        <v>880</v>
      </c>
      <c r="F30" s="2" t="s">
        <v>222</v>
      </c>
      <c r="G30" s="2" t="s">
        <v>223</v>
      </c>
    </row>
    <row r="31" spans="1:7">
      <c r="A31" s="2" t="s">
        <v>73</v>
      </c>
      <c r="B31" s="2" t="s">
        <v>224</v>
      </c>
      <c r="C31" s="67">
        <v>46086</v>
      </c>
      <c r="D31" s="2" t="s">
        <v>225</v>
      </c>
      <c r="E31" s="2">
        <v>1040</v>
      </c>
      <c r="F31" s="2" t="s">
        <v>226</v>
      </c>
      <c r="G31" s="2" t="s">
        <v>227</v>
      </c>
    </row>
    <row r="32" spans="1:7">
      <c r="A32" s="2" t="s">
        <v>74</v>
      </c>
      <c r="B32" s="2" t="s">
        <v>228</v>
      </c>
      <c r="C32" s="67">
        <v>46089</v>
      </c>
      <c r="D32" s="2" t="s">
        <v>229</v>
      </c>
      <c r="E32" s="2">
        <v>690</v>
      </c>
      <c r="F32" s="2" t="s">
        <v>230</v>
      </c>
      <c r="G32" s="2" t="s">
        <v>231</v>
      </c>
    </row>
    <row r="33" spans="1:7">
      <c r="A33" s="2" t="s">
        <v>75</v>
      </c>
      <c r="B33" s="2" t="s">
        <v>232</v>
      </c>
      <c r="C33" s="67">
        <v>46091</v>
      </c>
      <c r="D33" s="2" t="s">
        <v>233</v>
      </c>
      <c r="E33" s="2">
        <v>1150</v>
      </c>
      <c r="F33" s="2" t="s">
        <v>234</v>
      </c>
      <c r="G33" s="2" t="s">
        <v>235</v>
      </c>
    </row>
    <row r="34" spans="1:7">
      <c r="A34" s="2" t="s">
        <v>76</v>
      </c>
      <c r="B34" s="2" t="s">
        <v>236</v>
      </c>
      <c r="C34" s="67">
        <v>46093</v>
      </c>
      <c r="D34" s="2" t="s">
        <v>237</v>
      </c>
      <c r="E34" s="2">
        <v>720</v>
      </c>
      <c r="F34" s="2" t="s">
        <v>238</v>
      </c>
      <c r="G34" s="2" t="s">
        <v>239</v>
      </c>
    </row>
    <row r="35" spans="1:7">
      <c r="A35" s="2" t="s">
        <v>77</v>
      </c>
      <c r="B35" s="2" t="s">
        <v>240</v>
      </c>
      <c r="C35" s="67">
        <v>46096</v>
      </c>
      <c r="D35" s="2" t="s">
        <v>241</v>
      </c>
      <c r="E35" s="2">
        <v>840</v>
      </c>
      <c r="F35" s="2" t="s">
        <v>242</v>
      </c>
      <c r="G35" s="2" t="s">
        <v>243</v>
      </c>
    </row>
    <row r="36" spans="1:7">
      <c r="A36" s="2" t="s">
        <v>78</v>
      </c>
      <c r="B36" s="2" t="s">
        <v>244</v>
      </c>
      <c r="C36" s="67">
        <v>46098</v>
      </c>
      <c r="D36" s="2" t="s">
        <v>245</v>
      </c>
      <c r="E36" s="2">
        <v>920</v>
      </c>
      <c r="F36" s="2" t="s">
        <v>246</v>
      </c>
      <c r="G36" s="2" t="s">
        <v>247</v>
      </c>
    </row>
    <row r="37" spans="1:7">
      <c r="A37" s="2" t="s">
        <v>79</v>
      </c>
      <c r="B37" s="2" t="s">
        <v>248</v>
      </c>
      <c r="C37" s="67">
        <v>46101</v>
      </c>
      <c r="D37" s="2" t="s">
        <v>249</v>
      </c>
      <c r="E37" s="2">
        <v>1080</v>
      </c>
      <c r="F37" s="2" t="s">
        <v>250</v>
      </c>
      <c r="G37" s="2" t="s">
        <v>251</v>
      </c>
    </row>
    <row r="38" spans="1:7">
      <c r="A38" s="2" t="s">
        <v>80</v>
      </c>
      <c r="B38" s="2" t="s">
        <v>252</v>
      </c>
      <c r="C38" s="67">
        <v>46103</v>
      </c>
      <c r="D38" s="2" t="s">
        <v>253</v>
      </c>
      <c r="E38" s="2">
        <v>630</v>
      </c>
      <c r="F38" s="2" t="s">
        <v>254</v>
      </c>
      <c r="G38" s="2" t="s">
        <v>255</v>
      </c>
    </row>
    <row r="39" spans="1:7">
      <c r="A39" s="2" t="s">
        <v>81</v>
      </c>
      <c r="B39" s="2" t="s">
        <v>256</v>
      </c>
      <c r="C39" s="67">
        <v>46105</v>
      </c>
      <c r="D39" s="2" t="s">
        <v>257</v>
      </c>
      <c r="E39" s="2">
        <v>790</v>
      </c>
      <c r="F39" s="2" t="s">
        <v>258</v>
      </c>
      <c r="G39" s="2" t="s">
        <v>259</v>
      </c>
    </row>
    <row r="40" spans="1:7">
      <c r="A40" s="2" t="s">
        <v>82</v>
      </c>
      <c r="B40" s="2" t="s">
        <v>260</v>
      </c>
      <c r="C40" s="67">
        <v>46108</v>
      </c>
      <c r="D40" s="2" t="s">
        <v>261</v>
      </c>
      <c r="E40" s="2">
        <v>950</v>
      </c>
      <c r="F40" s="2" t="s">
        <v>262</v>
      </c>
      <c r="G40" s="2" t="s">
        <v>263</v>
      </c>
    </row>
    <row r="41" spans="1:7">
      <c r="A41" s="2" t="s">
        <v>83</v>
      </c>
      <c r="B41" s="2" t="s">
        <v>264</v>
      </c>
      <c r="C41" s="67">
        <v>46110</v>
      </c>
      <c r="D41" s="2" t="s">
        <v>265</v>
      </c>
      <c r="E41" s="2">
        <v>1180</v>
      </c>
      <c r="F41" s="2" t="s">
        <v>266</v>
      </c>
      <c r="G41" s="2" t="s">
        <v>267</v>
      </c>
    </row>
    <row r="42" spans="1:7">
      <c r="A42" s="2" t="s">
        <v>84</v>
      </c>
      <c r="B42" s="2" t="s">
        <v>268</v>
      </c>
      <c r="C42" s="67">
        <v>46113</v>
      </c>
      <c r="D42" s="2" t="s">
        <v>269</v>
      </c>
      <c r="E42" s="2">
        <v>540</v>
      </c>
      <c r="F42" s="2" t="s">
        <v>270</v>
      </c>
      <c r="G42" s="2" t="s">
        <v>271</v>
      </c>
    </row>
    <row r="43" spans="1:7">
      <c r="A43" s="2" t="s">
        <v>85</v>
      </c>
      <c r="B43" s="2" t="s">
        <v>272</v>
      </c>
      <c r="C43" s="67">
        <v>46115</v>
      </c>
      <c r="D43" s="2" t="s">
        <v>273</v>
      </c>
      <c r="E43" s="2">
        <v>860</v>
      </c>
      <c r="F43" s="2" t="s">
        <v>274</v>
      </c>
      <c r="G43" s="2" t="s">
        <v>275</v>
      </c>
    </row>
    <row r="44" spans="1:7">
      <c r="A44" s="2" t="s">
        <v>86</v>
      </c>
      <c r="B44" s="2" t="s">
        <v>276</v>
      </c>
      <c r="C44" s="67">
        <v>46117</v>
      </c>
      <c r="D44" s="2" t="s">
        <v>277</v>
      </c>
      <c r="E44" s="2">
        <v>1000</v>
      </c>
      <c r="F44" s="2" t="s">
        <v>278</v>
      </c>
      <c r="G44" s="2" t="s">
        <v>279</v>
      </c>
    </row>
    <row r="45" spans="1:7">
      <c r="A45" s="2" t="s">
        <v>87</v>
      </c>
      <c r="B45" s="2" t="s">
        <v>280</v>
      </c>
      <c r="C45" s="67">
        <v>46120</v>
      </c>
      <c r="D45" s="2" t="s">
        <v>281</v>
      </c>
      <c r="E45" s="2">
        <v>670</v>
      </c>
      <c r="F45" s="2" t="s">
        <v>282</v>
      </c>
      <c r="G45" s="2" t="s">
        <v>283</v>
      </c>
    </row>
    <row r="46" spans="1:7">
      <c r="A46" s="2" t="s">
        <v>88</v>
      </c>
      <c r="B46" s="2" t="s">
        <v>284</v>
      </c>
      <c r="C46" s="67">
        <v>46122</v>
      </c>
      <c r="D46" s="2" t="s">
        <v>285</v>
      </c>
      <c r="E46" s="2">
        <v>810</v>
      </c>
      <c r="F46" s="2" t="s">
        <v>286</v>
      </c>
      <c r="G46" s="2" t="s">
        <v>287</v>
      </c>
    </row>
    <row r="47" spans="1:7">
      <c r="A47" s="2" t="s">
        <v>89</v>
      </c>
      <c r="B47" s="2" t="s">
        <v>288</v>
      </c>
      <c r="C47" s="67">
        <v>46124</v>
      </c>
      <c r="D47" s="2" t="s">
        <v>289</v>
      </c>
      <c r="E47" s="2">
        <v>970</v>
      </c>
      <c r="F47" s="2" t="s">
        <v>290</v>
      </c>
      <c r="G47" s="2" t="s">
        <v>291</v>
      </c>
    </row>
    <row r="48" spans="1:7">
      <c r="A48" s="2" t="s">
        <v>90</v>
      </c>
      <c r="B48" s="2" t="s">
        <v>292</v>
      </c>
      <c r="C48" s="67">
        <v>46127</v>
      </c>
      <c r="D48" s="2" t="s">
        <v>293</v>
      </c>
      <c r="E48" s="2">
        <v>1090</v>
      </c>
      <c r="F48" s="2" t="s">
        <v>294</v>
      </c>
      <c r="G48" s="2" t="s">
        <v>295</v>
      </c>
    </row>
    <row r="49" spans="1:7">
      <c r="A49" s="2" t="s">
        <v>91</v>
      </c>
      <c r="C49" s="67">
        <v>46129</v>
      </c>
      <c r="D49" s="2" t="s">
        <v>296</v>
      </c>
      <c r="E49" s="2">
        <v>580</v>
      </c>
      <c r="F49" s="2" t="s">
        <v>297</v>
      </c>
      <c r="G49" s="2" t="s">
        <v>298</v>
      </c>
    </row>
    <row r="50" spans="1:7">
      <c r="A50" s="2" t="s">
        <v>92</v>
      </c>
      <c r="B50" s="2" t="s">
        <v>299</v>
      </c>
      <c r="D50" s="2" t="s">
        <v>300</v>
      </c>
      <c r="E50" s="2">
        <v>730</v>
      </c>
      <c r="F50" s="2" t="s">
        <v>301</v>
      </c>
      <c r="G50" s="2" t="s">
        <v>302</v>
      </c>
    </row>
    <row r="51" spans="1:7">
      <c r="A51" s="2" t="s">
        <v>93</v>
      </c>
      <c r="B51" s="2" t="s">
        <v>303</v>
      </c>
      <c r="C51" s="67">
        <v>46134</v>
      </c>
      <c r="E51" s="2">
        <v>910</v>
      </c>
      <c r="F51" s="2" t="s">
        <v>304</v>
      </c>
      <c r="G51" s="2" t="s">
        <v>305</v>
      </c>
    </row>
    <row r="52" spans="1:7">
      <c r="A52" s="2" t="s">
        <v>94</v>
      </c>
      <c r="B52" s="2" t="s">
        <v>306</v>
      </c>
      <c r="C52" s="67">
        <v>46136</v>
      </c>
      <c r="D52" s="2" t="s">
        <v>307</v>
      </c>
      <c r="F52" s="2" t="s">
        <v>308</v>
      </c>
      <c r="G52" s="2" t="s">
        <v>309</v>
      </c>
    </row>
    <row r="53" spans="1:7">
      <c r="A53" s="2" t="s">
        <v>95</v>
      </c>
      <c r="B53" s="2" t="s">
        <v>310</v>
      </c>
      <c r="C53" s="67">
        <v>46139</v>
      </c>
      <c r="D53" s="2" t="s">
        <v>311</v>
      </c>
      <c r="E53" s="2">
        <v>1250</v>
      </c>
      <c r="G53" s="2" t="s">
        <v>312</v>
      </c>
    </row>
  </sheetData>
  <phoneticPr fontId="5" type="noConversion"/>
  <conditionalFormatting sqref="E4:E1048576">
    <cfRule type="duplicateValues" dxfId="36" priority="1"/>
  </conditionalFormatting>
  <conditionalFormatting sqref="A3:A53">
    <cfRule type="duplicateValues" dxfId="35" priority="29"/>
  </conditionalFormatting>
  <conditionalFormatting sqref="C3:G3 B3:B53">
    <cfRule type="duplicateValues" dxfId="34" priority="30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20264-AD85-405C-87C9-5DC5AD072966}">
  <sheetPr codeName="Sheet4"/>
  <dimension ref="A1:AA54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15" sqref="J15"/>
    </sheetView>
  </sheetViews>
  <sheetFormatPr defaultRowHeight="14.5"/>
  <cols>
    <col min="1" max="1" width="15.36328125" bestFit="1" customWidth="1"/>
    <col min="2" max="2" width="46.6328125" bestFit="1" customWidth="1"/>
    <col min="3" max="3" width="19.453125" bestFit="1" customWidth="1"/>
    <col min="4" max="4" width="20.26953125" bestFit="1" customWidth="1"/>
    <col min="5" max="5" width="18" bestFit="1" customWidth="1"/>
    <col min="6" max="6" width="19.453125" customWidth="1"/>
    <col min="7" max="7" width="17" bestFit="1" customWidth="1"/>
    <col min="8" max="8" width="29.81640625" style="8" bestFit="1" customWidth="1"/>
    <col min="9" max="9" width="20.54296875" bestFit="1" customWidth="1"/>
    <col min="10" max="10" width="15.08984375" customWidth="1"/>
    <col min="11" max="11" width="21.6328125" customWidth="1"/>
    <col min="12" max="12" width="18.81640625" customWidth="1"/>
  </cols>
  <sheetData>
    <row r="1" spans="1:27" ht="37.5" thickBot="1">
      <c r="A1" s="58" t="s">
        <v>42</v>
      </c>
      <c r="B1" s="59" cm="1">
        <f t="array" ref="B1">SUMPRODUCT(--(ReportData[UniqueID]&lt;&gt;""))</f>
        <v>50</v>
      </c>
    </row>
    <row r="2" spans="1:27" ht="15" thickBot="1">
      <c r="A2" t="s">
        <v>45</v>
      </c>
      <c r="B2" s="9" t="s">
        <v>15</v>
      </c>
      <c r="C2" s="7" t="s">
        <v>22</v>
      </c>
      <c r="D2" s="33" t="s">
        <v>16</v>
      </c>
      <c r="E2" s="34" t="s">
        <v>18</v>
      </c>
      <c r="F2" s="28" t="s">
        <v>17</v>
      </c>
      <c r="G2" s="29" t="s">
        <v>20</v>
      </c>
      <c r="H2" s="30" t="s">
        <v>24</v>
      </c>
      <c r="I2" s="31" t="s">
        <v>23</v>
      </c>
      <c r="J2" s="32" t="s">
        <v>31</v>
      </c>
      <c r="K2" s="13" t="s">
        <v>29</v>
      </c>
      <c r="L2" s="14" t="s">
        <v>30</v>
      </c>
      <c r="N2" s="82" t="s">
        <v>26</v>
      </c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4"/>
    </row>
    <row r="3" spans="1:27">
      <c r="B3" s="62" t="str" cm="1">
        <f t="array" ref="B3:B9">TRANSPOSE(ReportData[#Headers])</f>
        <v>UniqueID</v>
      </c>
      <c r="C3" t="s">
        <v>28</v>
      </c>
      <c r="D3" s="3" cm="1">
        <f t="array" ref="D3">_xlfn.LET(
  _xlpm.colName, $B3,
  _xlpm.hdrs, ReportData[#Headers],
  _xlpm.colIndex, _xlfn.XMATCH(_xlpm.colName, _xlpm.hdrs, 0),
  _xlpm.thisCol, INDEX(ReportData[], , _xlpm.colIndex),
  _xlpm.cleaned, TRIM(CLEAN(SUBSTITUTE(_xlpm.thisCol, CHAR(160), ""))),
  _xlpm.filled, SUMPRODUCT(--(LEN(_xlpm.cleaned)&gt;0)),
  IFERROR(_xlpm.filled / ROWS(_xlpm.thisCol), 0)
)</f>
        <v>1</v>
      </c>
      <c r="E3" s="4" cm="1">
        <f t="array" ref="E3">_xlfn.LET(
  _xlpm.colName, $B3,
  _xlpm.hdrs, ReportData[#Headers],
  _xlpm.colIndex, _xlfn.XMATCH(_xlpm.colName, _xlpm.hdrs, 0),
  _xlpm.thisCol, INDEX(ReportData[], , _xlpm.colIndex),
  _xlpm.cleaned, TRIM(CLEAN(SUBSTITUTE(_xlpm.thisCol, CHAR(160), ""))),
  _xlpm.missing, SUM(--(LEN(_xlpm.cleaned)=0)),
  IFERROR(_xlpm.missing, 0)
)</f>
        <v>0</v>
      </c>
      <c r="F3" s="5" cm="1">
        <f t="array" ref="F3">IF(D3=0,"BLANK DATA",IFERROR(COUNTA(_xlfn.UNIQUE(_xlfn._xlws.FILTER(UPPER(TRIM(CLEAN(SUBSTITUTE(INDEX(ReportData[],,MATCH(TRIM($B3),ReportData[#Headers],0)),CHAR(160),"")))),LEN(UPPER(TRIM(CLEAN(SUBSTITUTE(INDEX(ReportData[],,MATCH(TRIM($B3),ReportData[#Headers],0)),CHAR(160),"")))))&gt;0)))/COUNTA(_xlfn._xlws.FILTER(UPPER(TRIM(CLEAN(SUBSTITUTE(INDEX(ReportData[],,MATCH(TRIM($B3),ReportData[#Headers],0)),CHAR(160),"")))),LEN(UPPER(TRIM(CLEAN(SUBSTITUTE(INDEX(ReportData[],,MATCH(TRIM($B3),ReportData[#Headers],0)),CHAR(160),"")))))&gt;0)),0))</f>
        <v>1</v>
      </c>
      <c r="G3" s="6" cm="1">
        <f t="array" ref="G3">IF(D3=0,"BLANK DATA",IFERROR(SUMPRODUCT((INDEX(ReportData[],,MATCH(TRIM($B3),ReportData[#Headers],0))&lt;&gt;"")*(COUNTIF(INDEX(ReportData[],,MATCH(TRIM($B3),ReportData[#Headers],0)),INDEX(ReportData[],,MATCH(TRIM($B3),ReportData[#Headers],0)))&gt;1)),0))</f>
        <v>0</v>
      </c>
      <c r="H3" s="8" cm="1">
        <f t="array" ref="H3">SUMPRODUCT(--(TEXT(INDEX(ReportData[],,MATCH(B3,ReportData[#Headers],0)),"@") &lt;&gt;
SUBSTITUTE(TRIM(SUBSTITUTE(TEXT(INDEX(ReportData[],,MATCH(B3,ReportData[#Headers],0)),"@"),CHAR(160),"")),CHAR(160),""))) / ROWS(ReportData[])</f>
        <v>0</v>
      </c>
      <c r="I3" s="6" cm="1">
        <f t="array" ref="I3">SUMPRODUCT(--(TEXT(INDEX(ReportData[],,MATCH(B3,ReportData[#Headers],0)),"@") &lt;&gt;
SUBSTITUTE(TRIM(SUBSTITUTE(TEXT(INDEX(ReportData[],,MATCH(B3,ReportData[#Headers],0)),"@"),CHAR(160),"")),CHAR(160),"")))</f>
        <v>0</v>
      </c>
      <c r="J3" s="6"/>
      <c r="K3" s="6"/>
      <c r="L3" s="6"/>
      <c r="N3" s="85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7"/>
    </row>
    <row r="4" spans="1:27">
      <c r="B4" s="63" t="str">
        <v>CustomerName</v>
      </c>
      <c r="C4" t="s">
        <v>28</v>
      </c>
      <c r="D4" s="3" cm="1">
        <f t="array" ref="D4">_xlfn.LET(
  _xlpm.colName, $B4,
  _xlpm.hdrs, ReportData[#Headers],
  _xlpm.colIndex, _xlfn.XMATCH(_xlpm.colName, _xlpm.hdrs, 0),
  _xlpm.thisCol, INDEX(ReportData[], , _xlpm.colIndex),
  _xlpm.cleaned, TRIM(CLEAN(SUBSTITUTE(_xlpm.thisCol, CHAR(160), ""))),
  _xlpm.filled, SUMPRODUCT(--(LEN(_xlpm.cleaned)&gt;0)),
  IFERROR(_xlpm.filled / ROWS(_xlpm.thisCol), 0)
)</f>
        <v>0.96</v>
      </c>
      <c r="E4" s="4" cm="1">
        <f t="array" ref="E4">_xlfn.LET(
  _xlpm.colName, $B4,
  _xlpm.hdrs, ReportData[#Headers],
  _xlpm.colIndex, _xlfn.XMATCH(_xlpm.colName, _xlpm.hdrs, 0),
  _xlpm.thisCol, INDEX(ReportData[], , _xlpm.colIndex),
  _xlpm.cleaned, TRIM(CLEAN(SUBSTITUTE(_xlpm.thisCol, CHAR(160), ""))),
  _xlpm.missing, SUM(--(LEN(_xlpm.cleaned)=0)),
  IFERROR(_xlpm.missing, 0)
)</f>
        <v>2</v>
      </c>
      <c r="F4" s="5" cm="1">
        <f t="array" ref="F4">IF(D4=0,"BLANK DATA",IFERROR(COUNTA(_xlfn.UNIQUE(_xlfn._xlws.FILTER(UPPER(TRIM(CLEAN(SUBSTITUTE(INDEX(ReportData[],,MATCH(TRIM($B4),ReportData[#Headers],0)),CHAR(160),"")))),LEN(UPPER(TRIM(CLEAN(SUBSTITUTE(INDEX(ReportData[],,MATCH(TRIM($B4),ReportData[#Headers],0)),CHAR(160),"")))))&gt;0)))/COUNTA(_xlfn._xlws.FILTER(UPPER(TRIM(CLEAN(SUBSTITUTE(INDEX(ReportData[],,MATCH(TRIM($B4),ReportData[#Headers],0)),CHAR(160),"")))),LEN(UPPER(TRIM(CLEAN(SUBSTITUTE(INDEX(ReportData[],,MATCH(TRIM($B4),ReportData[#Headers],0)),CHAR(160),"")))))&gt;0)),0))</f>
        <v>1</v>
      </c>
      <c r="G4" s="6" cm="1">
        <f t="array" ref="G4">IF(D4=0,"BLANK DATA",IFERROR(SUMPRODUCT((INDEX(ReportData[],,MATCH(TRIM($B4),ReportData[#Headers],0))&lt;&gt;"")*(COUNTIF(INDEX(ReportData[],,MATCH(TRIM($B4),ReportData[#Headers],0)),INDEX(ReportData[],,MATCH(TRIM($B4),ReportData[#Headers],0)))&gt;1)),0))</f>
        <v>0</v>
      </c>
      <c r="H4" s="8" cm="1">
        <f t="array" ref="H4">SUMPRODUCT(--(TEXT(INDEX(ReportData[],,MATCH(B4,ReportData[#Headers],0)),"@") &lt;&gt;
SUBSTITUTE(TRIM(SUBSTITUTE(TEXT(INDEX(ReportData[],,MATCH(B4,ReportData[#Headers],0)),"@"),CHAR(160),"")),CHAR(160),""))) / ROWS(ReportData[])</f>
        <v>0.04</v>
      </c>
      <c r="I4" s="6" cm="1">
        <f t="array" ref="I4">SUMPRODUCT(--(TEXT(INDEX(ReportData[],,MATCH(B4,ReportData[#Headers],0)),"@") &lt;&gt;
SUBSTITUTE(TRIM(SUBSTITUTE(TEXT(INDEX(ReportData[],,MATCH(B4,ReportData[#Headers],0)),"@"),CHAR(160),"")),CHAR(160),"")))</f>
        <v>2</v>
      </c>
      <c r="J4" s="15"/>
      <c r="L4" s="6"/>
      <c r="N4" s="85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7"/>
    </row>
    <row r="5" spans="1:27">
      <c r="B5" s="63" t="str">
        <v>StartDate</v>
      </c>
      <c r="C5" t="s">
        <v>28</v>
      </c>
      <c r="D5" s="3" cm="1">
        <f t="array" ref="D5">_xlfn.LET(
  _xlpm.colName, $B5,
  _xlpm.hdrs, ReportData[#Headers],
  _xlpm.colIndex, _xlfn.XMATCH(_xlpm.colName, _xlpm.hdrs, 0),
  _xlpm.thisCol, INDEX(ReportData[], , _xlpm.colIndex),
  _xlpm.cleaned, TRIM(CLEAN(SUBSTITUTE(_xlpm.thisCol, CHAR(160), ""))),
  _xlpm.filled, SUMPRODUCT(--(LEN(_xlpm.cleaned)&gt;0)),
  IFERROR(_xlpm.filled / ROWS(_xlpm.thisCol), 0)
)</f>
        <v>0.96</v>
      </c>
      <c r="E5" s="4" cm="1">
        <f t="array" ref="E5">_xlfn.LET(
  _xlpm.colName, $B5,
  _xlpm.hdrs, ReportData[#Headers],
  _xlpm.colIndex, _xlfn.XMATCH(_xlpm.colName, _xlpm.hdrs, 0),
  _xlpm.thisCol, INDEX(ReportData[], , _xlpm.colIndex),
  _xlpm.cleaned, TRIM(CLEAN(SUBSTITUTE(_xlpm.thisCol, CHAR(160), ""))),
  _xlpm.missing, SUM(--(LEN(_xlpm.cleaned)=0)),
  IFERROR(_xlpm.missing, 0)
)</f>
        <v>2</v>
      </c>
      <c r="F5" s="5" cm="1">
        <f t="array" ref="F5">IF(D5=0,"BLANK DATA",IFERROR(COUNTA(_xlfn.UNIQUE(_xlfn._xlws.FILTER(UPPER(TRIM(CLEAN(SUBSTITUTE(INDEX(ReportData[],,MATCH(TRIM($B5),ReportData[#Headers],0)),CHAR(160),"")))),LEN(UPPER(TRIM(CLEAN(SUBSTITUTE(INDEX(ReportData[],,MATCH(TRIM($B5),ReportData[#Headers],0)),CHAR(160),"")))))&gt;0)))/COUNTA(_xlfn._xlws.FILTER(UPPER(TRIM(CLEAN(SUBSTITUTE(INDEX(ReportData[],,MATCH(TRIM($B5),ReportData[#Headers],0)),CHAR(160),"")))),LEN(UPPER(TRIM(CLEAN(SUBSTITUTE(INDEX(ReportData[],,MATCH(TRIM($B5),ReportData[#Headers],0)),CHAR(160),"")))))&gt;0)),0))</f>
        <v>1</v>
      </c>
      <c r="G5" s="6" cm="1">
        <f t="array" ref="G5">IF(D5=0,"BLANK DATA",IFERROR(SUMPRODUCT((INDEX(ReportData[],,MATCH(TRIM($B5),ReportData[#Headers],0))&lt;&gt;"")*(COUNTIF(INDEX(ReportData[],,MATCH(TRIM($B5),ReportData[#Headers],0)),INDEX(ReportData[],,MATCH(TRIM($B5),ReportData[#Headers],0)))&gt;1)),0))</f>
        <v>0</v>
      </c>
      <c r="H5" s="8" cm="1">
        <f t="array" ref="H5">SUMPRODUCT(--(TEXT(INDEX(ReportData[],,MATCH(B5,ReportData[#Headers],0)),"@") &lt;&gt;
SUBSTITUTE(TRIM(SUBSTITUTE(TEXT(INDEX(ReportData[],,MATCH(B5,ReportData[#Headers],0)),"@"),CHAR(160),"")),CHAR(160),""))) / ROWS(ReportData[])</f>
        <v>0</v>
      </c>
      <c r="I5" s="6" cm="1">
        <f t="array" ref="I5">SUMPRODUCT(--(TEXT(INDEX(ReportData[],,MATCH(B5,ReportData[#Headers],0)),"@") &lt;&gt;
SUBSTITUTE(TRIM(SUBSTITUTE(TEXT(INDEX(ReportData[],,MATCH(B5,ReportData[#Headers],0)),"@"),CHAR(160),"")),CHAR(160),"")))</f>
        <v>0</v>
      </c>
      <c r="J5" s="6"/>
      <c r="K5" s="6"/>
      <c r="L5" s="6"/>
      <c r="N5" s="85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7"/>
    </row>
    <row r="6" spans="1:27" ht="15" thickBot="1">
      <c r="B6" s="63" t="str">
        <v>Reference</v>
      </c>
      <c r="C6" t="s">
        <v>28</v>
      </c>
      <c r="D6" s="3" cm="1">
        <f t="array" ref="D6">_xlfn.LET(
  _xlpm.colName, $B6,
  _xlpm.hdrs, ReportData[#Headers],
  _xlpm.colIndex, _xlfn.XMATCH(_xlpm.colName, _xlpm.hdrs, 0),
  _xlpm.thisCol, INDEX(ReportData[], , _xlpm.colIndex),
  _xlpm.cleaned, TRIM(CLEAN(SUBSTITUTE(_xlpm.thisCol, CHAR(160), ""))),
  _xlpm.filled, SUMPRODUCT(--(LEN(_xlpm.cleaned)&gt;0)),
  IFERROR(_xlpm.filled / ROWS(_xlpm.thisCol), 0)
)</f>
        <v>0.96</v>
      </c>
      <c r="E6" s="4" cm="1">
        <f t="array" ref="E6">_xlfn.LET(
  _xlpm.colName, $B6,
  _xlpm.hdrs, ReportData[#Headers],
  _xlpm.colIndex, _xlfn.XMATCH(_xlpm.colName, _xlpm.hdrs, 0),
  _xlpm.thisCol, INDEX(ReportData[], , _xlpm.colIndex),
  _xlpm.cleaned, TRIM(CLEAN(SUBSTITUTE(_xlpm.thisCol, CHAR(160), ""))),
  _xlpm.missing, SUM(--(LEN(_xlpm.cleaned)=0)),
  IFERROR(_xlpm.missing, 0)
)</f>
        <v>2</v>
      </c>
      <c r="F6" s="5" cm="1">
        <f t="array" ref="F6">IF(D6=0,"BLANK DATA",IFERROR(COUNTA(_xlfn.UNIQUE(_xlfn._xlws.FILTER(UPPER(TRIM(CLEAN(SUBSTITUTE(INDEX(ReportData[],,MATCH(TRIM($B6),ReportData[#Headers],0)),CHAR(160),"")))),LEN(UPPER(TRIM(CLEAN(SUBSTITUTE(INDEX(ReportData[],,MATCH(TRIM($B6),ReportData[#Headers],0)),CHAR(160),"")))))&gt;0)))/COUNTA(_xlfn._xlws.FILTER(UPPER(TRIM(CLEAN(SUBSTITUTE(INDEX(ReportData[],,MATCH(TRIM($B6),ReportData[#Headers],0)),CHAR(160),"")))),LEN(UPPER(TRIM(CLEAN(SUBSTITUTE(INDEX(ReportData[],,MATCH(TRIM($B6),ReportData[#Headers],0)),CHAR(160),"")))))&gt;0)),0))</f>
        <v>1</v>
      </c>
      <c r="G6" s="6" cm="1">
        <f t="array" ref="G6">IF(D6=0,"BLANK DATA",IFERROR(SUMPRODUCT((INDEX(ReportData[],,MATCH(TRIM($B6),ReportData[#Headers],0))&lt;&gt;"")*(COUNTIF(INDEX(ReportData[],,MATCH(TRIM($B6),ReportData[#Headers],0)),INDEX(ReportData[],,MATCH(TRIM($B6),ReportData[#Headers],0)))&gt;1)),0))</f>
        <v>0</v>
      </c>
      <c r="H6" s="8" cm="1">
        <f t="array" ref="H6">SUMPRODUCT(--(TEXT(INDEX(ReportData[],,MATCH(B6,ReportData[#Headers],0)),"@") &lt;&gt;
SUBSTITUTE(TRIM(SUBSTITUTE(TEXT(INDEX(ReportData[],,MATCH(B6,ReportData[#Headers],0)),"@"),CHAR(160),"")),CHAR(160),""))) / ROWS(ReportData[])</f>
        <v>0</v>
      </c>
      <c r="I6" s="6" cm="1">
        <f t="array" ref="I6">SUMPRODUCT(--(TEXT(INDEX(ReportData[],,MATCH(B6,ReportData[#Headers],0)),"@") &lt;&gt;
SUBSTITUTE(TRIM(SUBSTITUTE(TEXT(INDEX(ReportData[],,MATCH(B6,ReportData[#Headers],0)),"@"),CHAR(160),"")),CHAR(160),"")))</f>
        <v>0</v>
      </c>
      <c r="J6" s="12"/>
      <c r="L6" s="6"/>
      <c r="N6" s="88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90"/>
    </row>
    <row r="7" spans="1:27" ht="15" thickBot="1">
      <c r="B7" s="63" t="str">
        <v>Amount</v>
      </c>
      <c r="C7" t="s">
        <v>28</v>
      </c>
      <c r="D7" s="3" cm="1">
        <f t="array" ref="D7">_xlfn.LET(
  _xlpm.colName, $B7,
  _xlpm.hdrs, ReportData[#Headers],
  _xlpm.colIndex, _xlfn.XMATCH(_xlpm.colName, _xlpm.hdrs, 0),
  _xlpm.thisCol, INDEX(ReportData[], , _xlpm.colIndex),
  _xlpm.cleaned, TRIM(CLEAN(SUBSTITUTE(_xlpm.thisCol, CHAR(160), ""))),
  _xlpm.filled, SUMPRODUCT(--(LEN(_xlpm.cleaned)&gt;0)),
  IFERROR(_xlpm.filled / ROWS(_xlpm.thisCol), 0)
)</f>
        <v>0.96</v>
      </c>
      <c r="E7" s="4" cm="1">
        <f t="array" ref="E7">_xlfn.LET(
  _xlpm.colName, $B7,
  _xlpm.hdrs, ReportData[#Headers],
  _xlpm.colIndex, _xlfn.XMATCH(_xlpm.colName, _xlpm.hdrs, 0),
  _xlpm.thisCol, INDEX(ReportData[], , _xlpm.colIndex),
  _xlpm.cleaned, TRIM(CLEAN(SUBSTITUTE(_xlpm.thisCol, CHAR(160), ""))),
  _xlpm.missing, SUM(--(LEN(_xlpm.cleaned)=0)),
  IFERROR(_xlpm.missing, 0)
)</f>
        <v>2</v>
      </c>
      <c r="F7" s="5" cm="1">
        <f t="array" ref="F7">IF(D7=0,"BLANK DATA",IFERROR(COUNTA(_xlfn.UNIQUE(_xlfn._xlws.FILTER(UPPER(TRIM(CLEAN(SUBSTITUTE(INDEX(ReportData[],,MATCH(TRIM($B7),ReportData[#Headers],0)),CHAR(160),"")))),LEN(UPPER(TRIM(CLEAN(SUBSTITUTE(INDEX(ReportData[],,MATCH(TRIM($B7),ReportData[#Headers],0)),CHAR(160),"")))))&gt;0)))/COUNTA(_xlfn._xlws.FILTER(UPPER(TRIM(CLEAN(SUBSTITUTE(INDEX(ReportData[],,MATCH(TRIM($B7),ReportData[#Headers],0)),CHAR(160),"")))),LEN(UPPER(TRIM(CLEAN(SUBSTITUTE(INDEX(ReportData[],,MATCH(TRIM($B7),ReportData[#Headers],0)),CHAR(160),"")))))&gt;0)),0))</f>
        <v>0.97916666666666663</v>
      </c>
      <c r="G7" s="6" cm="1">
        <f t="array" ref="G7">IF(D7=0,"BLANK DATA",IFERROR(SUMPRODUCT((INDEX(ReportData[],,MATCH(TRIM($B7),ReportData[#Headers],0))&lt;&gt;"")*(COUNTIF(INDEX(ReportData[],,MATCH(TRIM($B7),ReportData[#Headers],0)),INDEX(ReportData[],,MATCH(TRIM($B7),ReportData[#Headers],0)))&gt;1)),0))</f>
        <v>2</v>
      </c>
      <c r="H7" s="8" cm="1">
        <f t="array" ref="H7">SUMPRODUCT(--(TEXT(INDEX(ReportData[],,MATCH(B7,ReportData[#Headers],0)),"@") &lt;&gt;
SUBSTITUTE(TRIM(SUBSTITUTE(TEXT(INDEX(ReportData[],,MATCH(B7,ReportData[#Headers],0)),"@"),CHAR(160),"")),CHAR(160),""))) / ROWS(ReportData[])</f>
        <v>0</v>
      </c>
      <c r="I7" s="6" cm="1">
        <f t="array" ref="I7">SUMPRODUCT(--(TEXT(INDEX(ReportData[],,MATCH(B7,ReportData[#Headers],0)),"@") &lt;&gt;
SUBSTITUTE(TRIM(SUBSTITUTE(TEXT(INDEX(ReportData[],,MATCH(B7,ReportData[#Headers],0)),"@"),CHAR(160),"")),CHAR(160),"")))</f>
        <v>0</v>
      </c>
      <c r="J7" s="6"/>
      <c r="L7" s="6"/>
    </row>
    <row r="8" spans="1:27">
      <c r="B8" s="63" t="str">
        <v>PostCode</v>
      </c>
      <c r="C8" t="s">
        <v>28</v>
      </c>
      <c r="D8" s="3" cm="1">
        <f t="array" ref="D8">_xlfn.LET(
  _xlpm.colName, $B8,
  _xlpm.hdrs, ReportData[#Headers],
  _xlpm.colIndex, _xlfn.XMATCH(_xlpm.colName, _xlpm.hdrs, 0),
  _xlpm.thisCol, INDEX(ReportData[], , _xlpm.colIndex),
  _xlpm.cleaned, TRIM(CLEAN(SUBSTITUTE(_xlpm.thisCol, CHAR(160), ""))),
  _xlpm.filled, SUMPRODUCT(--(LEN(_xlpm.cleaned)&gt;0)),
  IFERROR(_xlpm.filled / ROWS(_xlpm.thisCol), 0)
)</f>
        <v>0.96</v>
      </c>
      <c r="E8" s="4" cm="1">
        <f t="array" ref="E8">_xlfn.LET(
  _xlpm.colName, $B8,
  _xlpm.hdrs, ReportData[#Headers],
  _xlpm.colIndex, _xlfn.XMATCH(_xlpm.colName, _xlpm.hdrs, 0),
  _xlpm.thisCol, INDEX(ReportData[], , _xlpm.colIndex),
  _xlpm.cleaned, TRIM(CLEAN(SUBSTITUTE(_xlpm.thisCol, CHAR(160), ""))),
  _xlpm.missing, SUM(--(LEN(_xlpm.cleaned)=0)),
  IFERROR(_xlpm.missing, 0)
)</f>
        <v>2</v>
      </c>
      <c r="F8" s="5" cm="1">
        <f t="array" ref="F8">IF(D8=0,"BLANK DATA",IFERROR(COUNTA(_xlfn.UNIQUE(_xlfn._xlws.FILTER(UPPER(TRIM(CLEAN(SUBSTITUTE(INDEX(ReportData[],,MATCH(TRIM($B8),ReportData[#Headers],0)),CHAR(160),"")))),LEN(UPPER(TRIM(CLEAN(SUBSTITUTE(INDEX(ReportData[],,MATCH(TRIM($B8),ReportData[#Headers],0)),CHAR(160),"")))))&gt;0)))/COUNTA(_xlfn._xlws.FILTER(UPPER(TRIM(CLEAN(SUBSTITUTE(INDEX(ReportData[],,MATCH(TRIM($B8),ReportData[#Headers],0)),CHAR(160),"")))),LEN(UPPER(TRIM(CLEAN(SUBSTITUTE(INDEX(ReportData[],,MATCH(TRIM($B8),ReportData[#Headers],0)),CHAR(160),"")))))&gt;0)),0))</f>
        <v>1</v>
      </c>
      <c r="G8" s="6" cm="1">
        <f t="array" ref="G8">IF(D8=0,"BLANK DATA",IFERROR(SUMPRODUCT((INDEX(ReportData[],,MATCH(TRIM($B8),ReportData[#Headers],0))&lt;&gt;"")*(COUNTIF(INDEX(ReportData[],,MATCH(TRIM($B8),ReportData[#Headers],0)),INDEX(ReportData[],,MATCH(TRIM($B8),ReportData[#Headers],0)))&gt;1)),0))</f>
        <v>0</v>
      </c>
      <c r="H8" s="8" cm="1">
        <f t="array" ref="H8">SUMPRODUCT(--(TEXT(INDEX(ReportData[],,MATCH(B8,ReportData[#Headers],0)),"@") &lt;&gt;
SUBSTITUTE(TRIM(SUBSTITUTE(TEXT(INDEX(ReportData[],,MATCH(B8,ReportData[#Headers],0)),"@"),CHAR(160),"")),CHAR(160),""))) / ROWS(ReportData[])</f>
        <v>0</v>
      </c>
      <c r="I8" s="6" cm="1">
        <f t="array" ref="I8">SUMPRODUCT(--(TEXT(INDEX(ReportData[],,MATCH(B8,ReportData[#Headers],0)),"@") &lt;&gt;
SUBSTITUTE(TRIM(SUBSTITUTE(TEXT(INDEX(ReportData[],,MATCH(B8,ReportData[#Headers],0)),"@"),CHAR(160),"")),CHAR(160),"")))</f>
        <v>0</v>
      </c>
      <c r="J8" s="15"/>
      <c r="L8" s="6"/>
      <c r="N8" s="91" t="s">
        <v>21</v>
      </c>
      <c r="O8" s="99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100"/>
    </row>
    <row r="9" spans="1:27">
      <c r="B9" s="64" t="str">
        <v>Email</v>
      </c>
      <c r="C9" t="s">
        <v>28</v>
      </c>
      <c r="D9" s="3" cm="1">
        <f t="array" ref="D9">_xlfn.LET(
  _xlpm.colName, $B9,
  _xlpm.hdrs, ReportData[#Headers],
  _xlpm.colIndex, _xlfn.XMATCH(_xlpm.colName, _xlpm.hdrs, 0),
  _xlpm.thisCol, INDEX(ReportData[], , _xlpm.colIndex),
  _xlpm.cleaned, TRIM(CLEAN(SUBSTITUTE(_xlpm.thisCol, CHAR(160), ""))),
  _xlpm.filled, SUMPRODUCT(--(LEN(_xlpm.cleaned)&gt;0)),
  IFERROR(_xlpm.filled / ROWS(_xlpm.thisCol), 0)
)</f>
        <v>0.98</v>
      </c>
      <c r="E9" s="4" cm="1">
        <f t="array" ref="E9">_xlfn.LET(
  _xlpm.colName, $B9,
  _xlpm.hdrs, ReportData[#Headers],
  _xlpm.colIndex, _xlfn.XMATCH(_xlpm.colName, _xlpm.hdrs, 0),
  _xlpm.thisCol, INDEX(ReportData[], , _xlpm.colIndex),
  _xlpm.cleaned, TRIM(CLEAN(SUBSTITUTE(_xlpm.thisCol, CHAR(160), ""))),
  _xlpm.missing, SUM(--(LEN(_xlpm.cleaned)=0)),
  IFERROR(_xlpm.missing, 0)
)</f>
        <v>1</v>
      </c>
      <c r="F9" s="5" cm="1">
        <f t="array" ref="F9">IF(D9=0,"BLANK DATA",IFERROR(COUNTA(_xlfn.UNIQUE(_xlfn._xlws.FILTER(UPPER(TRIM(CLEAN(SUBSTITUTE(INDEX(ReportData[],,MATCH(TRIM($B9),ReportData[#Headers],0)),CHAR(160),"")))),LEN(UPPER(TRIM(CLEAN(SUBSTITUTE(INDEX(ReportData[],,MATCH(TRIM($B9),ReportData[#Headers],0)),CHAR(160),"")))))&gt;0)))/COUNTA(_xlfn._xlws.FILTER(UPPER(TRIM(CLEAN(SUBSTITUTE(INDEX(ReportData[],,MATCH(TRIM($B9),ReportData[#Headers],0)),CHAR(160),"")))),LEN(UPPER(TRIM(CLEAN(SUBSTITUTE(INDEX(ReportData[],,MATCH(TRIM($B9),ReportData[#Headers],0)),CHAR(160),"")))))&gt;0)),0))</f>
        <v>0.97959183673469385</v>
      </c>
      <c r="G9" s="6" cm="1">
        <f t="array" ref="G9">IF(D9=0,"BLANK DATA",IFERROR(SUMPRODUCT((INDEX(ReportData[],,MATCH(TRIM($B9),ReportData[#Headers],0))&lt;&gt;"")*(COUNTIF(INDEX(ReportData[],,MATCH(TRIM($B9),ReportData[#Headers],0)),INDEX(ReportData[],,MATCH(TRIM($B9),ReportData[#Headers],0)))&gt;1)),0))</f>
        <v>2</v>
      </c>
      <c r="H9" s="8" cm="1">
        <f t="array" ref="H9">SUMPRODUCT(--(TEXT(INDEX(ReportData[],,MATCH(B9,ReportData[#Headers],0)),"@") &lt;&gt;
SUBSTITUTE(TRIM(SUBSTITUTE(TEXT(INDEX(ReportData[],,MATCH(B9,ReportData[#Headers],0)),"@"),CHAR(160),"")),CHAR(160),""))) / ROWS(ReportData[])</f>
        <v>0</v>
      </c>
      <c r="I9" s="6" cm="1">
        <f t="array" ref="I9">SUMPRODUCT(--(TEXT(INDEX(ReportData[],,MATCH(B9,ReportData[#Headers],0)),"@") &lt;&gt;
SUBSTITUTE(TRIM(SUBSTITUTE(TEXT(INDEX(ReportData[],,MATCH(B9,ReportData[#Headers],0)),"@"),CHAR(160),"")),CHAR(160),"")))</f>
        <v>0</v>
      </c>
      <c r="J9" s="15"/>
      <c r="L9" s="6"/>
      <c r="N9" s="101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102"/>
    </row>
    <row r="10" spans="1:27">
      <c r="B10" s="10"/>
      <c r="D10" s="3"/>
      <c r="E10" s="4"/>
      <c r="F10" s="5"/>
      <c r="G10" s="6"/>
      <c r="I10" s="6"/>
      <c r="J10" s="12"/>
      <c r="K10" s="6"/>
      <c r="L10" s="6"/>
      <c r="N10" s="101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102"/>
    </row>
    <row r="11" spans="1:27">
      <c r="B11" s="10"/>
      <c r="D11" s="3"/>
      <c r="E11" s="4"/>
      <c r="F11" s="5"/>
      <c r="G11" s="6"/>
      <c r="I11" s="6"/>
      <c r="J11" s="12"/>
      <c r="K11" s="6"/>
      <c r="L11" s="6"/>
      <c r="N11" s="101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102"/>
    </row>
    <row r="12" spans="1:27" ht="15" thickBot="1">
      <c r="B12" s="10"/>
      <c r="D12" s="3"/>
      <c r="E12" s="4"/>
      <c r="F12" s="5"/>
      <c r="G12" s="6"/>
      <c r="I12" s="6"/>
      <c r="N12" s="103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5"/>
    </row>
    <row r="13" spans="1:27" ht="15" thickBot="1">
      <c r="B13" s="10"/>
      <c r="D13" s="3"/>
      <c r="E13" s="4"/>
      <c r="F13" s="5"/>
      <c r="G13" s="6"/>
      <c r="I13" s="6"/>
      <c r="J13" s="6"/>
      <c r="K13" s="6"/>
      <c r="L13" s="6"/>
    </row>
    <row r="14" spans="1:27" ht="14.5" customHeight="1">
      <c r="B14" s="11"/>
      <c r="D14" s="3"/>
      <c r="E14" s="4"/>
      <c r="F14" s="5"/>
      <c r="G14" s="6"/>
      <c r="I14" s="6"/>
      <c r="J14" s="15"/>
      <c r="K14" s="6"/>
      <c r="L14" s="6"/>
      <c r="N14" s="91" t="s">
        <v>25</v>
      </c>
      <c r="O14" s="99"/>
      <c r="P14" s="99"/>
      <c r="Q14" s="99"/>
      <c r="R14" s="99"/>
      <c r="S14" s="99"/>
      <c r="T14" s="99"/>
      <c r="U14" s="99"/>
      <c r="V14" s="99"/>
      <c r="W14" s="99"/>
      <c r="X14" s="99"/>
      <c r="Y14" s="99"/>
      <c r="Z14" s="99"/>
      <c r="AA14" s="100"/>
    </row>
    <row r="15" spans="1:27">
      <c r="B15" s="10"/>
      <c r="D15" s="3"/>
      <c r="E15" s="4"/>
      <c r="F15" s="5"/>
      <c r="G15" s="6"/>
      <c r="I15" s="6"/>
      <c r="J15" s="6"/>
      <c r="K15" s="6"/>
      <c r="L15" s="6"/>
      <c r="N15" s="101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102"/>
    </row>
    <row r="16" spans="1:27">
      <c r="B16" s="10"/>
      <c r="D16" s="3"/>
      <c r="E16" s="4"/>
      <c r="F16" s="5"/>
      <c r="G16" s="6"/>
      <c r="I16" s="6"/>
      <c r="J16" s="6"/>
      <c r="K16" s="6"/>
      <c r="L16" s="6"/>
      <c r="N16" s="101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102"/>
    </row>
    <row r="17" spans="2:27">
      <c r="B17" s="10"/>
      <c r="D17" s="3"/>
      <c r="E17" s="4"/>
      <c r="F17" s="5"/>
      <c r="G17" s="6"/>
      <c r="I17" s="6"/>
      <c r="J17" s="12"/>
      <c r="K17" s="6"/>
      <c r="L17" s="6"/>
      <c r="N17" s="101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102"/>
    </row>
    <row r="18" spans="2:27" ht="15" thickBot="1">
      <c r="B18" s="10"/>
      <c r="D18" s="3"/>
      <c r="E18" s="4"/>
      <c r="F18" s="5"/>
      <c r="G18" s="6"/>
      <c r="I18" s="6"/>
      <c r="J18" s="6"/>
      <c r="K18" s="6"/>
      <c r="L18" s="6"/>
      <c r="N18" s="103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5"/>
    </row>
    <row r="19" spans="2:27" ht="15" thickBot="1">
      <c r="B19" s="10"/>
      <c r="D19" s="3"/>
      <c r="E19" s="4"/>
      <c r="F19" s="5"/>
      <c r="G19" s="6"/>
      <c r="I19" s="6"/>
      <c r="J19" s="6"/>
      <c r="K19" s="6"/>
      <c r="L19" s="6"/>
    </row>
    <row r="20" spans="2:27" ht="14.5" customHeight="1">
      <c r="B20" s="10"/>
      <c r="D20" s="3"/>
      <c r="E20" s="4"/>
      <c r="F20" s="5"/>
      <c r="G20" s="6"/>
      <c r="I20" s="6"/>
      <c r="J20" s="6"/>
      <c r="K20" s="6"/>
      <c r="L20" s="6"/>
      <c r="N20" s="91" t="s">
        <v>19</v>
      </c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3"/>
    </row>
    <row r="21" spans="2:27">
      <c r="B21" s="10"/>
      <c r="D21" s="3"/>
      <c r="E21" s="4"/>
      <c r="F21" s="5"/>
      <c r="G21" s="6"/>
      <c r="I21" s="6"/>
      <c r="J21" s="6"/>
      <c r="K21" s="6"/>
      <c r="L21" s="6"/>
      <c r="N21" s="94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95"/>
    </row>
    <row r="22" spans="2:27">
      <c r="B22" s="10"/>
      <c r="D22" s="3"/>
      <c r="E22" s="4"/>
      <c r="F22" s="5"/>
      <c r="G22" s="6"/>
      <c r="I22" s="6"/>
      <c r="J22" s="6"/>
      <c r="K22" s="6"/>
      <c r="L22" s="6"/>
      <c r="N22" s="94"/>
      <c r="O22" s="81"/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  <c r="AA22" s="95"/>
    </row>
    <row r="23" spans="2:27">
      <c r="B23" s="10"/>
      <c r="D23" s="3"/>
      <c r="E23" s="4"/>
      <c r="F23" s="5"/>
      <c r="G23" s="6"/>
      <c r="I23" s="6"/>
      <c r="J23" s="6"/>
      <c r="K23" s="6"/>
      <c r="L23" s="6"/>
      <c r="N23" s="94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95"/>
    </row>
    <row r="24" spans="2:27" ht="15" thickBot="1">
      <c r="B24" s="10"/>
      <c r="D24" s="3"/>
      <c r="E24" s="4"/>
      <c r="F24" s="5"/>
      <c r="G24" s="6"/>
      <c r="I24" s="6"/>
      <c r="J24" s="6"/>
      <c r="K24" s="6"/>
      <c r="L24" s="6"/>
      <c r="N24" s="96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  <c r="AA24" s="98"/>
    </row>
    <row r="25" spans="2:27">
      <c r="B25" s="10"/>
      <c r="D25" s="3"/>
      <c r="E25" s="4"/>
      <c r="F25" s="5"/>
      <c r="G25" s="6"/>
      <c r="I25" s="6"/>
      <c r="J25" s="6"/>
      <c r="K25" s="6"/>
      <c r="L25" s="6"/>
    </row>
    <row r="26" spans="2:27">
      <c r="B26" s="10"/>
      <c r="D26" s="3"/>
      <c r="E26" s="4"/>
      <c r="F26" s="5"/>
      <c r="G26" s="6"/>
      <c r="I26" s="6"/>
      <c r="J26" s="6"/>
      <c r="K26" s="6"/>
      <c r="L26" s="6"/>
    </row>
    <row r="27" spans="2:27">
      <c r="B27" s="10"/>
      <c r="D27" s="3"/>
      <c r="E27" s="4"/>
      <c r="F27" s="5"/>
      <c r="G27" s="6"/>
      <c r="I27" s="6"/>
      <c r="J27" s="12"/>
      <c r="K27" s="6"/>
      <c r="L27" s="6"/>
    </row>
    <row r="28" spans="2:27">
      <c r="B28" s="10"/>
      <c r="D28" s="3"/>
      <c r="E28" s="4"/>
      <c r="F28" s="5"/>
      <c r="G28" s="6"/>
      <c r="I28" s="6"/>
      <c r="J28" s="12"/>
      <c r="K28" s="6"/>
      <c r="L28" s="6"/>
    </row>
    <row r="29" spans="2:27">
      <c r="B29" s="10"/>
      <c r="D29" s="3"/>
      <c r="E29" s="4"/>
      <c r="F29" s="5"/>
      <c r="G29" s="6"/>
      <c r="I29" s="6"/>
      <c r="J29" s="15"/>
      <c r="K29" s="6"/>
      <c r="L29" s="6"/>
    </row>
    <row r="30" spans="2:27">
      <c r="B30" s="10"/>
      <c r="D30" s="3"/>
      <c r="E30" s="4"/>
      <c r="F30" s="5"/>
      <c r="G30" s="6"/>
      <c r="I30" s="6"/>
      <c r="J30" s="6"/>
      <c r="K30" s="6"/>
      <c r="L30" s="6"/>
    </row>
    <row r="31" spans="2:27">
      <c r="B31" s="10"/>
      <c r="D31" s="3"/>
      <c r="E31" s="4"/>
      <c r="F31" s="5"/>
      <c r="G31" s="6"/>
      <c r="I31" s="6"/>
      <c r="J31" s="6"/>
      <c r="K31" s="6"/>
      <c r="L31" s="6"/>
    </row>
    <row r="32" spans="2:27">
      <c r="B32" s="10"/>
      <c r="D32" s="3"/>
      <c r="E32" s="4"/>
      <c r="F32" s="5"/>
      <c r="G32" s="6"/>
      <c r="I32" s="6"/>
      <c r="J32" s="6"/>
      <c r="K32" s="6"/>
      <c r="L32" s="6"/>
    </row>
    <row r="33" spans="2:12">
      <c r="B33" s="10"/>
      <c r="D33" s="3"/>
      <c r="E33" s="4"/>
      <c r="F33" s="5"/>
      <c r="G33" s="6"/>
      <c r="I33" s="6"/>
      <c r="J33" s="6"/>
      <c r="K33" s="6"/>
      <c r="L33" s="6"/>
    </row>
    <row r="34" spans="2:12">
      <c r="B34" s="10"/>
      <c r="D34" s="3"/>
      <c r="E34" s="4"/>
      <c r="F34" s="5"/>
      <c r="G34" s="6"/>
      <c r="I34" s="6"/>
      <c r="J34" s="6"/>
      <c r="K34" s="6"/>
      <c r="L34" s="6"/>
    </row>
    <row r="35" spans="2:12">
      <c r="B35" s="10"/>
      <c r="D35" s="3"/>
      <c r="E35" s="4"/>
      <c r="F35" s="5"/>
      <c r="G35" s="6"/>
      <c r="I35" s="6"/>
      <c r="J35" s="6"/>
      <c r="K35" s="6"/>
      <c r="L35" s="6"/>
    </row>
    <row r="36" spans="2:12">
      <c r="B36" s="10"/>
      <c r="D36" s="3"/>
      <c r="E36" s="4"/>
      <c r="F36" s="5"/>
      <c r="G36" s="6"/>
      <c r="I36" s="6"/>
      <c r="J36" s="6"/>
      <c r="K36" s="6"/>
      <c r="L36" s="6"/>
    </row>
    <row r="37" spans="2:12">
      <c r="B37" s="10"/>
      <c r="D37" s="3"/>
      <c r="E37" s="4"/>
      <c r="F37" s="5"/>
      <c r="G37" s="6"/>
      <c r="I37" s="6"/>
      <c r="J37" s="6"/>
      <c r="K37" s="6"/>
      <c r="L37" s="6"/>
    </row>
    <row r="38" spans="2:12">
      <c r="B38" s="10"/>
      <c r="D38" s="3"/>
      <c r="E38" s="4"/>
      <c r="F38" s="5"/>
      <c r="G38" s="6"/>
      <c r="I38" s="6"/>
      <c r="J38" s="6"/>
      <c r="K38" s="6"/>
      <c r="L38" s="6"/>
    </row>
    <row r="39" spans="2:12">
      <c r="B39" s="10"/>
      <c r="D39" s="3"/>
      <c r="E39" s="4"/>
      <c r="F39" s="5"/>
      <c r="G39" s="6"/>
      <c r="I39" s="6"/>
      <c r="J39" s="6"/>
      <c r="K39" s="6"/>
      <c r="L39" s="6"/>
    </row>
    <row r="40" spans="2:12">
      <c r="B40" s="10"/>
      <c r="D40" s="3"/>
      <c r="E40" s="4"/>
      <c r="F40" s="5"/>
      <c r="G40" s="6"/>
      <c r="I40" s="6"/>
      <c r="J40" s="6"/>
      <c r="K40" s="6"/>
      <c r="L40" s="6"/>
    </row>
    <row r="41" spans="2:12">
      <c r="B41" s="10"/>
      <c r="D41" s="3"/>
      <c r="E41" s="4"/>
      <c r="F41" s="5"/>
      <c r="G41" s="6"/>
      <c r="I41" s="6"/>
      <c r="J41" s="6"/>
      <c r="K41" s="6"/>
      <c r="L41" s="6"/>
    </row>
    <row r="42" spans="2:12">
      <c r="B42" s="10"/>
      <c r="D42" s="3"/>
      <c r="E42" s="4"/>
      <c r="F42" s="5"/>
      <c r="G42" s="6"/>
      <c r="I42" s="6"/>
      <c r="J42" s="12"/>
      <c r="K42" s="6"/>
      <c r="L42" s="6"/>
    </row>
    <row r="43" spans="2:12">
      <c r="B43" s="10"/>
      <c r="D43" s="3"/>
      <c r="E43" s="4"/>
      <c r="F43" s="5"/>
      <c r="G43" s="6"/>
      <c r="I43" s="6"/>
      <c r="J43" s="6"/>
      <c r="K43" s="6"/>
      <c r="L43" s="6"/>
    </row>
    <row r="44" spans="2:12">
      <c r="B44" s="10"/>
      <c r="D44" s="3"/>
      <c r="E44" s="4"/>
      <c r="F44" s="5"/>
      <c r="G44" s="6"/>
      <c r="I44" s="6"/>
      <c r="J44" s="6"/>
      <c r="K44" s="6"/>
      <c r="L44" s="6"/>
    </row>
    <row r="45" spans="2:12">
      <c r="B45" s="10"/>
      <c r="D45" s="3"/>
      <c r="E45" s="4"/>
      <c r="F45" s="5"/>
      <c r="G45" s="6"/>
      <c r="I45" s="6"/>
      <c r="J45" s="6"/>
      <c r="K45" s="6"/>
      <c r="L45" s="6"/>
    </row>
    <row r="46" spans="2:12">
      <c r="B46" s="10"/>
      <c r="D46" s="3"/>
      <c r="E46" s="4"/>
      <c r="F46" s="5"/>
      <c r="G46" s="6"/>
      <c r="I46" s="6"/>
      <c r="J46" s="6"/>
      <c r="K46" s="6"/>
      <c r="L46" s="6"/>
    </row>
    <row r="47" spans="2:12">
      <c r="B47" s="10"/>
      <c r="D47" s="3"/>
      <c r="E47" s="4"/>
      <c r="F47" s="5"/>
      <c r="G47" s="6"/>
      <c r="I47" s="6"/>
      <c r="J47" s="6"/>
      <c r="K47" s="6"/>
      <c r="L47" s="6"/>
    </row>
    <row r="48" spans="2:12">
      <c r="B48" s="10"/>
      <c r="D48" s="3"/>
      <c r="E48" s="4"/>
      <c r="F48" s="5"/>
      <c r="G48" s="6"/>
      <c r="I48" s="6"/>
      <c r="J48" s="6"/>
      <c r="K48" s="6"/>
      <c r="L48" s="6"/>
    </row>
    <row r="49" spans="2:12">
      <c r="B49" s="10"/>
      <c r="D49" s="3"/>
      <c r="E49" s="4"/>
      <c r="F49" s="5"/>
      <c r="G49" s="6"/>
      <c r="I49" s="6"/>
      <c r="J49" s="6"/>
      <c r="K49" s="6"/>
      <c r="L49" s="6"/>
    </row>
    <row r="50" spans="2:12">
      <c r="B50" s="10"/>
      <c r="D50" s="3"/>
      <c r="E50" s="4"/>
      <c r="F50" s="5"/>
      <c r="G50" s="6"/>
      <c r="I50" s="6"/>
      <c r="J50" s="6"/>
      <c r="K50" s="6"/>
      <c r="L50" s="6"/>
    </row>
    <row r="51" spans="2:12">
      <c r="B51" s="10"/>
      <c r="D51" s="3"/>
      <c r="E51" s="4"/>
      <c r="F51" s="5"/>
      <c r="G51" s="6"/>
      <c r="I51" s="6"/>
      <c r="J51" s="6"/>
      <c r="K51" s="6"/>
      <c r="L51" s="6"/>
    </row>
    <row r="52" spans="2:12">
      <c r="B52" s="10"/>
      <c r="D52" s="3"/>
      <c r="E52" s="4"/>
      <c r="F52" s="5"/>
      <c r="G52" s="6"/>
      <c r="I52" s="6"/>
      <c r="J52" s="6"/>
      <c r="K52" s="6"/>
      <c r="L52" s="6"/>
    </row>
    <row r="53" spans="2:12">
      <c r="B53" s="10"/>
      <c r="D53" s="3"/>
      <c r="E53" s="4"/>
      <c r="F53" s="5"/>
      <c r="G53" s="6"/>
      <c r="I53" s="6"/>
      <c r="J53" s="6"/>
      <c r="K53" s="6"/>
      <c r="L53" s="6"/>
    </row>
    <row r="54" spans="2:12">
      <c r="B54" s="10"/>
      <c r="D54" s="3"/>
      <c r="E54" s="4"/>
      <c r="F54" s="5"/>
      <c r="G54" s="6"/>
      <c r="I54" s="6"/>
      <c r="J54" s="6"/>
      <c r="K54" s="6"/>
      <c r="L54" s="6"/>
    </row>
  </sheetData>
  <autoFilter ref="B2:L54" xr:uid="{F1820264-AD85-405C-87C9-5DC5AD072966}"/>
  <mergeCells count="4">
    <mergeCell ref="N2:AA6"/>
    <mergeCell ref="N20:AA24"/>
    <mergeCell ref="N8:AA12"/>
    <mergeCell ref="N14:AA18"/>
  </mergeCells>
  <conditionalFormatting sqref="D1:D1048576">
    <cfRule type="colorScale" priority="3">
      <colorScale>
        <cfvo type="num" val="0"/>
        <cfvo type="num" val="0.8"/>
        <cfvo type="num" val="1"/>
        <color rgb="FFFF9999"/>
        <color rgb="FFFFFFCC"/>
        <color rgb="FFCCFF99"/>
      </colorScale>
    </cfRule>
  </conditionalFormatting>
  <conditionalFormatting sqref="B3">
    <cfRule type="duplicateValues" dxfId="32" priority="2"/>
  </conditionalFormatting>
  <conditionalFormatting sqref="B4">
    <cfRule type="duplicateValues" dxfId="31" priority="1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62BAA-B0E3-4657-913C-D27F18046F36}">
  <sheetPr codeName="Sheet21"/>
  <dimension ref="A1:DB11"/>
  <sheetViews>
    <sheetView workbookViewId="0">
      <selection activeCell="D13" sqref="D13"/>
    </sheetView>
  </sheetViews>
  <sheetFormatPr defaultRowHeight="14.5"/>
  <cols>
    <col min="1" max="1" width="31.7265625" style="35" bestFit="1" customWidth="1"/>
    <col min="2" max="2" width="46.81640625" style="35" customWidth="1"/>
    <col min="4" max="4" width="31.7265625" bestFit="1" customWidth="1"/>
    <col min="5" max="5" width="27.36328125" customWidth="1"/>
    <col min="6" max="6" width="8.90625" customWidth="1"/>
    <col min="7" max="7" width="31.7265625" bestFit="1" customWidth="1"/>
    <col min="8" max="8" width="27.36328125" bestFit="1" customWidth="1"/>
    <col min="10" max="10" width="31.7265625" bestFit="1" customWidth="1"/>
    <col min="11" max="11" width="51.7265625" bestFit="1" customWidth="1"/>
    <col min="13" max="13" width="31.7265625" bestFit="1" customWidth="1"/>
    <col min="14" max="14" width="27.36328125" bestFit="1" customWidth="1"/>
    <col min="16" max="16" width="31.7265625" bestFit="1" customWidth="1"/>
    <col min="17" max="17" width="27.36328125" bestFit="1" customWidth="1"/>
    <col min="19" max="19" width="31.7265625" bestFit="1" customWidth="1"/>
    <col min="20" max="20" width="27.54296875" bestFit="1" customWidth="1"/>
    <col min="22" max="22" width="31.7265625" bestFit="1" customWidth="1"/>
    <col min="23" max="23" width="25.1796875" bestFit="1" customWidth="1"/>
    <col min="25" max="25" width="31.7265625" bestFit="1" customWidth="1"/>
    <col min="26" max="26" width="18.6328125" bestFit="1" customWidth="1"/>
    <col min="28" max="28" width="31.7265625" bestFit="1" customWidth="1"/>
    <col min="29" max="29" width="27.6328125" bestFit="1" customWidth="1"/>
    <col min="31" max="31" width="31.7265625" bestFit="1" customWidth="1"/>
    <col min="32" max="32" width="21.26953125" bestFit="1" customWidth="1"/>
    <col min="34" max="34" width="31.7265625" bestFit="1" customWidth="1"/>
    <col min="35" max="35" width="39.90625" bestFit="1" customWidth="1"/>
    <col min="37" max="37" width="31.7265625" bestFit="1" customWidth="1"/>
    <col min="38" max="38" width="37.08984375" bestFit="1" customWidth="1"/>
    <col min="40" max="40" width="31.7265625" bestFit="1" customWidth="1"/>
    <col min="41" max="41" width="27.54296875" bestFit="1" customWidth="1"/>
    <col min="43" max="43" width="31.7265625" bestFit="1" customWidth="1"/>
    <col min="44" max="44" width="27.26953125" bestFit="1" customWidth="1"/>
    <col min="46" max="46" width="31.7265625" bestFit="1" customWidth="1"/>
    <col min="47" max="47" width="26.1796875" bestFit="1" customWidth="1"/>
    <col min="49" max="49" width="31.7265625" bestFit="1" customWidth="1"/>
    <col min="50" max="50" width="21.54296875" bestFit="1" customWidth="1"/>
    <col min="52" max="52" width="31.7265625" bestFit="1" customWidth="1"/>
    <col min="53" max="53" width="23.1796875" bestFit="1" customWidth="1"/>
    <col min="55" max="55" width="31.7265625" bestFit="1" customWidth="1"/>
    <col min="56" max="56" width="21.54296875" bestFit="1" customWidth="1"/>
    <col min="58" max="58" width="31.7265625" bestFit="1" customWidth="1"/>
    <col min="59" max="59" width="21.54296875" bestFit="1" customWidth="1"/>
    <col min="61" max="61" width="31.7265625" bestFit="1" customWidth="1"/>
    <col min="62" max="62" width="25.08984375" bestFit="1" customWidth="1"/>
    <col min="64" max="64" width="31.7265625" bestFit="1" customWidth="1"/>
    <col min="65" max="65" width="30" bestFit="1" customWidth="1"/>
    <col min="67" max="67" width="31.7265625" bestFit="1" customWidth="1"/>
    <col min="68" max="68" width="28.90625" bestFit="1" customWidth="1"/>
    <col min="70" max="70" width="31.7265625" bestFit="1" customWidth="1"/>
    <col min="71" max="71" width="35.1796875" bestFit="1" customWidth="1"/>
    <col min="73" max="73" width="31.7265625" bestFit="1" customWidth="1"/>
    <col min="74" max="74" width="32.26953125" bestFit="1" customWidth="1"/>
    <col min="76" max="76" width="31.7265625" bestFit="1" customWidth="1"/>
    <col min="77" max="77" width="32.81640625" bestFit="1" customWidth="1"/>
    <col min="79" max="79" width="31.7265625" bestFit="1" customWidth="1"/>
    <col min="80" max="80" width="34.08984375" bestFit="1" customWidth="1"/>
    <col min="82" max="82" width="31.7265625" bestFit="1" customWidth="1"/>
    <col min="83" max="83" width="28.7265625" bestFit="1" customWidth="1"/>
    <col min="85" max="85" width="31.7265625" bestFit="1" customWidth="1"/>
    <col min="86" max="86" width="26.1796875" bestFit="1" customWidth="1"/>
    <col min="88" max="88" width="31.7265625" bestFit="1" customWidth="1"/>
    <col min="89" max="89" width="26.1796875" bestFit="1" customWidth="1"/>
    <col min="91" max="91" width="31.7265625" bestFit="1" customWidth="1"/>
    <col min="92" max="92" width="26.1796875" bestFit="1" customWidth="1"/>
    <col min="94" max="94" width="31.7265625" bestFit="1" customWidth="1"/>
    <col min="95" max="95" width="23.1796875" bestFit="1" customWidth="1"/>
    <col min="97" max="97" width="31.7265625" bestFit="1" customWidth="1"/>
    <col min="98" max="98" width="23.1796875" bestFit="1" customWidth="1"/>
    <col min="100" max="100" width="31.7265625" bestFit="1" customWidth="1"/>
    <col min="101" max="101" width="23.1796875" bestFit="1" customWidth="1"/>
    <col min="103" max="103" width="31.7265625" bestFit="1" customWidth="1"/>
    <col min="104" max="104" width="47.7265625" bestFit="1" customWidth="1"/>
  </cols>
  <sheetData>
    <row r="1" spans="1:106">
      <c r="A1" s="46" t="s">
        <v>18</v>
      </c>
      <c r="D1" t="str">
        <f>SUBSTITUTE(ADDRESS(1, COLUMN(), 4), "1", "")</f>
        <v>D</v>
      </c>
      <c r="E1" t="str">
        <f>SUBSTITUTE(ADDRESS(1, COLUMN(), 4), "1", "")</f>
        <v>E</v>
      </c>
      <c r="F1" t="str">
        <f t="shared" ref="F1:BQ1" si="0">SUBSTITUTE(ADDRESS(1, COLUMN(), 4), "1", "")</f>
        <v>F</v>
      </c>
      <c r="G1" t="str">
        <f t="shared" si="0"/>
        <v>G</v>
      </c>
      <c r="H1" t="str">
        <f t="shared" si="0"/>
        <v>H</v>
      </c>
      <c r="I1" t="str">
        <f t="shared" si="0"/>
        <v>I</v>
      </c>
      <c r="J1" t="str">
        <f t="shared" si="0"/>
        <v>J</v>
      </c>
      <c r="K1" t="str">
        <f t="shared" si="0"/>
        <v>K</v>
      </c>
      <c r="L1" t="str">
        <f t="shared" si="0"/>
        <v>L</v>
      </c>
      <c r="M1" t="str">
        <f t="shared" si="0"/>
        <v>M</v>
      </c>
      <c r="N1" t="str">
        <f t="shared" si="0"/>
        <v>N</v>
      </c>
      <c r="O1" t="str">
        <f t="shared" si="0"/>
        <v>O</v>
      </c>
      <c r="P1" t="str">
        <f t="shared" si="0"/>
        <v>P</v>
      </c>
      <c r="Q1" t="str">
        <f t="shared" si="0"/>
        <v>Q</v>
      </c>
      <c r="R1" t="str">
        <f t="shared" si="0"/>
        <v>R</v>
      </c>
      <c r="S1" t="str">
        <f t="shared" si="0"/>
        <v>S</v>
      </c>
      <c r="T1" t="str">
        <f t="shared" si="0"/>
        <v>T</v>
      </c>
      <c r="U1" t="str">
        <f t="shared" si="0"/>
        <v>U</v>
      </c>
      <c r="V1" t="str">
        <f t="shared" si="0"/>
        <v>V</v>
      </c>
      <c r="W1" t="str">
        <f t="shared" si="0"/>
        <v>W</v>
      </c>
      <c r="X1" t="str">
        <f t="shared" si="0"/>
        <v>X</v>
      </c>
      <c r="Y1" t="str">
        <f t="shared" si="0"/>
        <v>Y</v>
      </c>
      <c r="Z1" t="str">
        <f t="shared" si="0"/>
        <v>Z</v>
      </c>
      <c r="AA1" t="str">
        <f t="shared" si="0"/>
        <v>AA</v>
      </c>
      <c r="AB1" t="str">
        <f t="shared" si="0"/>
        <v>AB</v>
      </c>
      <c r="AC1" t="str">
        <f t="shared" si="0"/>
        <v>AC</v>
      </c>
      <c r="AD1" t="str">
        <f t="shared" si="0"/>
        <v>AD</v>
      </c>
      <c r="AE1" t="str">
        <f t="shared" si="0"/>
        <v>AE</v>
      </c>
      <c r="AF1" t="str">
        <f t="shared" si="0"/>
        <v>AF</v>
      </c>
      <c r="AG1" t="str">
        <f t="shared" si="0"/>
        <v>AG</v>
      </c>
      <c r="AH1" t="str">
        <f t="shared" si="0"/>
        <v>AH</v>
      </c>
      <c r="AI1" t="str">
        <f t="shared" si="0"/>
        <v>AI</v>
      </c>
      <c r="AJ1" t="str">
        <f t="shared" si="0"/>
        <v>AJ</v>
      </c>
      <c r="AK1" t="str">
        <f t="shared" si="0"/>
        <v>AK</v>
      </c>
      <c r="AL1" t="str">
        <f t="shared" si="0"/>
        <v>AL</v>
      </c>
      <c r="AM1" t="str">
        <f t="shared" si="0"/>
        <v>AM</v>
      </c>
      <c r="AN1" t="str">
        <f t="shared" si="0"/>
        <v>AN</v>
      </c>
      <c r="AO1" t="str">
        <f t="shared" si="0"/>
        <v>AO</v>
      </c>
      <c r="AP1" t="str">
        <f t="shared" si="0"/>
        <v>AP</v>
      </c>
      <c r="AQ1" t="str">
        <f t="shared" si="0"/>
        <v>AQ</v>
      </c>
      <c r="AR1" t="str">
        <f t="shared" si="0"/>
        <v>AR</v>
      </c>
      <c r="AS1" t="str">
        <f t="shared" si="0"/>
        <v>AS</v>
      </c>
      <c r="AT1" t="str">
        <f t="shared" si="0"/>
        <v>AT</v>
      </c>
      <c r="AU1" t="str">
        <f t="shared" si="0"/>
        <v>AU</v>
      </c>
      <c r="AV1" t="str">
        <f t="shared" si="0"/>
        <v>AV</v>
      </c>
      <c r="AW1" t="str">
        <f t="shared" si="0"/>
        <v>AW</v>
      </c>
      <c r="AX1" t="str">
        <f t="shared" si="0"/>
        <v>AX</v>
      </c>
      <c r="AY1" t="str">
        <f t="shared" si="0"/>
        <v>AY</v>
      </c>
      <c r="AZ1" t="str">
        <f t="shared" si="0"/>
        <v>AZ</v>
      </c>
      <c r="BA1" t="str">
        <f t="shared" si="0"/>
        <v>BA</v>
      </c>
      <c r="BB1" t="str">
        <f t="shared" si="0"/>
        <v>BB</v>
      </c>
      <c r="BC1" t="str">
        <f t="shared" si="0"/>
        <v>BC</v>
      </c>
      <c r="BD1" t="str">
        <f t="shared" si="0"/>
        <v>BD</v>
      </c>
      <c r="BE1" t="str">
        <f t="shared" si="0"/>
        <v>BE</v>
      </c>
      <c r="BF1" t="str">
        <f t="shared" si="0"/>
        <v>BF</v>
      </c>
      <c r="BG1" t="str">
        <f t="shared" si="0"/>
        <v>BG</v>
      </c>
      <c r="BH1" t="str">
        <f t="shared" si="0"/>
        <v>BH</v>
      </c>
      <c r="BI1" t="str">
        <f t="shared" si="0"/>
        <v>BI</v>
      </c>
      <c r="BJ1" t="str">
        <f t="shared" si="0"/>
        <v>BJ</v>
      </c>
      <c r="BK1" t="str">
        <f t="shared" si="0"/>
        <v>BK</v>
      </c>
      <c r="BL1" t="str">
        <f t="shared" si="0"/>
        <v>BL</v>
      </c>
      <c r="BM1" t="str">
        <f t="shared" si="0"/>
        <v>BM</v>
      </c>
      <c r="BN1" t="str">
        <f t="shared" si="0"/>
        <v>BN</v>
      </c>
      <c r="BO1" t="str">
        <f t="shared" si="0"/>
        <v>BO</v>
      </c>
      <c r="BP1" t="str">
        <f t="shared" si="0"/>
        <v>BP</v>
      </c>
      <c r="BQ1" t="str">
        <f t="shared" si="0"/>
        <v>BQ</v>
      </c>
      <c r="BR1" t="str">
        <f t="shared" ref="BR1:DB1" si="1">SUBSTITUTE(ADDRESS(1, COLUMN(), 4), "1", "")</f>
        <v>BR</v>
      </c>
      <c r="BS1" t="str">
        <f t="shared" si="1"/>
        <v>BS</v>
      </c>
      <c r="BT1" t="str">
        <f t="shared" si="1"/>
        <v>BT</v>
      </c>
      <c r="BU1" t="str">
        <f t="shared" si="1"/>
        <v>BU</v>
      </c>
      <c r="BV1" t="str">
        <f t="shared" si="1"/>
        <v>BV</v>
      </c>
      <c r="BW1" t="str">
        <f t="shared" si="1"/>
        <v>BW</v>
      </c>
      <c r="BX1" t="str">
        <f t="shared" si="1"/>
        <v>BX</v>
      </c>
      <c r="BY1" t="str">
        <f t="shared" si="1"/>
        <v>BY</v>
      </c>
      <c r="BZ1" t="str">
        <f t="shared" si="1"/>
        <v>BZ</v>
      </c>
      <c r="CA1" t="str">
        <f t="shared" si="1"/>
        <v>CA</v>
      </c>
      <c r="CB1" t="str">
        <f t="shared" si="1"/>
        <v>CB</v>
      </c>
      <c r="CC1" t="str">
        <f t="shared" si="1"/>
        <v>CC</v>
      </c>
      <c r="CD1" t="str">
        <f t="shared" si="1"/>
        <v>CD</v>
      </c>
      <c r="CE1" t="str">
        <f t="shared" si="1"/>
        <v>CE</v>
      </c>
      <c r="CF1" t="str">
        <f t="shared" si="1"/>
        <v>CF</v>
      </c>
      <c r="CG1" t="str">
        <f t="shared" si="1"/>
        <v>CG</v>
      </c>
      <c r="CH1" t="str">
        <f t="shared" si="1"/>
        <v>CH</v>
      </c>
      <c r="CI1" t="str">
        <f t="shared" si="1"/>
        <v>CI</v>
      </c>
      <c r="CJ1" t="str">
        <f t="shared" si="1"/>
        <v>CJ</v>
      </c>
      <c r="CK1" t="str">
        <f t="shared" si="1"/>
        <v>CK</v>
      </c>
      <c r="CL1" t="str">
        <f t="shared" si="1"/>
        <v>CL</v>
      </c>
      <c r="CM1" t="str">
        <f t="shared" si="1"/>
        <v>CM</v>
      </c>
      <c r="CN1" t="str">
        <f t="shared" si="1"/>
        <v>CN</v>
      </c>
      <c r="CO1" t="str">
        <f t="shared" si="1"/>
        <v>CO</v>
      </c>
      <c r="CP1" t="str">
        <f t="shared" si="1"/>
        <v>CP</v>
      </c>
      <c r="CQ1" t="str">
        <f t="shared" si="1"/>
        <v>CQ</v>
      </c>
      <c r="CR1" t="str">
        <f t="shared" si="1"/>
        <v>CR</v>
      </c>
      <c r="CS1" t="str">
        <f t="shared" si="1"/>
        <v>CS</v>
      </c>
      <c r="CT1" t="str">
        <f t="shared" si="1"/>
        <v>CT</v>
      </c>
      <c r="CU1" t="str">
        <f t="shared" si="1"/>
        <v>CU</v>
      </c>
      <c r="CV1" t="str">
        <f t="shared" si="1"/>
        <v>CV</v>
      </c>
      <c r="CW1" t="str">
        <f t="shared" si="1"/>
        <v>CW</v>
      </c>
      <c r="CX1" t="str">
        <f t="shared" si="1"/>
        <v>CX</v>
      </c>
      <c r="CY1" t="str">
        <f t="shared" si="1"/>
        <v>CY</v>
      </c>
      <c r="CZ1" t="str">
        <f t="shared" si="1"/>
        <v>CZ</v>
      </c>
      <c r="DA1" t="str">
        <f t="shared" si="1"/>
        <v>DA</v>
      </c>
      <c r="DB1" t="str">
        <f t="shared" si="1"/>
        <v>DB</v>
      </c>
    </row>
    <row r="2" spans="1:106" ht="15" thickBot="1">
      <c r="K2" t="s">
        <v>34</v>
      </c>
    </row>
    <row r="3" spans="1:106" ht="15" thickBot="1">
      <c r="A3" s="40" t="s">
        <v>38</v>
      </c>
      <c r="B3" s="41" t="s">
        <v>121</v>
      </c>
      <c r="D3" s="106" t="s">
        <v>36</v>
      </c>
      <c r="E3" s="108">
        <f>COUNTIFS(7:7,"&lt;&gt;0",7:7,"&lt;&gt;")</f>
        <v>6</v>
      </c>
      <c r="K3" t="s">
        <v>33</v>
      </c>
    </row>
    <row r="4" spans="1:106" ht="15" thickBot="1">
      <c r="A4" s="36"/>
      <c r="D4" s="107"/>
      <c r="E4" s="109"/>
    </row>
    <row r="6" spans="1:106">
      <c r="E6" s="48" t="s">
        <v>39</v>
      </c>
      <c r="H6" s="48" t="s">
        <v>39</v>
      </c>
      <c r="K6" s="48" t="s">
        <v>39</v>
      </c>
      <c r="N6" s="48" t="s">
        <v>39</v>
      </c>
      <c r="Q6" s="48" t="s">
        <v>39</v>
      </c>
      <c r="T6" s="48" t="s">
        <v>39</v>
      </c>
      <c r="W6" s="48" t="s">
        <v>39</v>
      </c>
      <c r="Z6" s="48" t="s">
        <v>39</v>
      </c>
      <c r="AC6" s="48" t="s">
        <v>39</v>
      </c>
      <c r="AF6" s="48" t="s">
        <v>39</v>
      </c>
      <c r="AI6" s="48" t="s">
        <v>39</v>
      </c>
      <c r="AL6" s="48" t="s">
        <v>39</v>
      </c>
      <c r="AO6" s="48" t="s">
        <v>39</v>
      </c>
      <c r="AR6" s="48" t="s">
        <v>39</v>
      </c>
      <c r="AU6" s="48" t="s">
        <v>39</v>
      </c>
      <c r="AX6" s="48" t="s">
        <v>39</v>
      </c>
      <c r="BA6" s="48" t="s">
        <v>39</v>
      </c>
      <c r="BD6" s="48" t="s">
        <v>39</v>
      </c>
      <c r="BG6" s="48" t="s">
        <v>39</v>
      </c>
      <c r="BJ6" s="48" t="s">
        <v>39</v>
      </c>
      <c r="BM6" s="48" t="s">
        <v>39</v>
      </c>
      <c r="BP6" s="48" t="s">
        <v>39</v>
      </c>
      <c r="BS6" s="48" t="s">
        <v>39</v>
      </c>
      <c r="BV6" s="48" t="s">
        <v>39</v>
      </c>
      <c r="BY6" s="48" t="s">
        <v>39</v>
      </c>
      <c r="CB6" s="48" t="s">
        <v>39</v>
      </c>
      <c r="CE6" s="48" t="s">
        <v>39</v>
      </c>
      <c r="CH6" s="48" t="s">
        <v>39</v>
      </c>
      <c r="CK6" s="48" t="s">
        <v>39</v>
      </c>
      <c r="CN6" s="48" t="s">
        <v>39</v>
      </c>
      <c r="CQ6" s="48" t="s">
        <v>39</v>
      </c>
      <c r="CT6" s="48" t="s">
        <v>39</v>
      </c>
      <c r="CW6" s="48" t="s">
        <v>39</v>
      </c>
      <c r="CZ6" s="48" t="s">
        <v>39</v>
      </c>
    </row>
    <row r="7" spans="1:106" s="20" customFormat="1">
      <c r="A7" s="46"/>
      <c r="B7" s="37"/>
      <c r="D7" s="20" t="str">
        <f>E9</f>
        <v>CustomerName</v>
      </c>
      <c r="E7"/>
      <c r="G7" s="20" t="str">
        <f>H9</f>
        <v>StartDate</v>
      </c>
      <c r="J7" s="20" t="str">
        <f>K9</f>
        <v>Reference</v>
      </c>
      <c r="M7" s="20" t="str">
        <f>N9</f>
        <v>Amount</v>
      </c>
      <c r="P7" s="20" t="str">
        <f>Q9</f>
        <v>PostCode</v>
      </c>
      <c r="S7" s="20" t="str">
        <f>T9</f>
        <v>Email</v>
      </c>
      <c r="V7" s="20">
        <f>W9</f>
        <v>0</v>
      </c>
      <c r="Y7" s="20">
        <f>Z9</f>
        <v>0</v>
      </c>
      <c r="AB7" s="20">
        <f>AC9</f>
        <v>0</v>
      </c>
      <c r="AE7" s="20">
        <f>AF9</f>
        <v>0</v>
      </c>
      <c r="AH7" s="20">
        <f>AI9</f>
        <v>0</v>
      </c>
      <c r="AK7" s="20">
        <f>AL9</f>
        <v>0</v>
      </c>
      <c r="AN7" s="20">
        <f>AO9</f>
        <v>0</v>
      </c>
      <c r="AQ7" s="20">
        <f>AR9</f>
        <v>0</v>
      </c>
      <c r="AT7" s="20">
        <f>AU9</f>
        <v>0</v>
      </c>
      <c r="AW7" s="20">
        <f>AX9</f>
        <v>0</v>
      </c>
      <c r="AZ7" s="20">
        <f>BA9</f>
        <v>0</v>
      </c>
      <c r="BC7" s="20">
        <f>BD9</f>
        <v>0</v>
      </c>
      <c r="BF7" s="20">
        <f>BG9</f>
        <v>0</v>
      </c>
      <c r="BI7" s="20">
        <f>BJ9</f>
        <v>0</v>
      </c>
      <c r="BL7" s="20">
        <f>BM9</f>
        <v>0</v>
      </c>
      <c r="BO7" s="20">
        <f>BP9</f>
        <v>0</v>
      </c>
      <c r="BR7" s="20">
        <f>BS9</f>
        <v>0</v>
      </c>
      <c r="BU7" s="20">
        <f>BV9</f>
        <v>0</v>
      </c>
      <c r="BX7" s="20">
        <f>BY9</f>
        <v>0</v>
      </c>
      <c r="CA7" s="20">
        <f>CB9</f>
        <v>0</v>
      </c>
      <c r="CD7" s="20">
        <f>CE9</f>
        <v>0</v>
      </c>
      <c r="CG7" s="20">
        <f>CH9</f>
        <v>0</v>
      </c>
      <c r="CJ7" s="20">
        <f>CK9</f>
        <v>0</v>
      </c>
      <c r="CM7" s="20">
        <f>CN9</f>
        <v>0</v>
      </c>
      <c r="CP7" s="20">
        <f>CQ9</f>
        <v>0</v>
      </c>
      <c r="CS7" s="20">
        <f>CT9</f>
        <v>0</v>
      </c>
      <c r="CV7" s="20">
        <f>CW9</f>
        <v>0</v>
      </c>
      <c r="CY7" s="20">
        <f>CZ9</f>
        <v>0</v>
      </c>
    </row>
    <row r="8" spans="1:106">
      <c r="A8" s="46" t="s">
        <v>99</v>
      </c>
      <c r="E8">
        <f ca="1">COUNTIF(INDIRECT(D1&amp;"10:"&amp;D1&amp;"1048576"),"&lt;&gt;")</f>
        <v>2</v>
      </c>
      <c r="H8">
        <f ca="1">COUNTIF(INDIRECT(G1&amp;"10:"&amp;G1&amp;"1048576"),"&lt;&gt;")</f>
        <v>2</v>
      </c>
      <c r="K8">
        <f t="shared" ref="K8:BS8" ca="1" si="2">COUNTIF(INDIRECT(J1&amp;"10:"&amp;J1&amp;"1048576"),"&lt;&gt;")</f>
        <v>2</v>
      </c>
      <c r="N8">
        <f t="shared" ca="1" si="2"/>
        <v>2</v>
      </c>
      <c r="Q8">
        <f t="shared" ca="1" si="2"/>
        <v>2</v>
      </c>
      <c r="T8">
        <f t="shared" ca="1" si="2"/>
        <v>1</v>
      </c>
      <c r="W8">
        <f t="shared" ca="1" si="2"/>
        <v>0</v>
      </c>
      <c r="Z8">
        <f t="shared" ca="1" si="2"/>
        <v>0</v>
      </c>
      <c r="AC8">
        <f t="shared" ca="1" si="2"/>
        <v>0</v>
      </c>
      <c r="AF8">
        <f t="shared" ca="1" si="2"/>
        <v>0</v>
      </c>
      <c r="AI8">
        <f t="shared" ca="1" si="2"/>
        <v>0</v>
      </c>
      <c r="AL8">
        <f t="shared" ca="1" si="2"/>
        <v>0</v>
      </c>
      <c r="AO8">
        <f t="shared" ca="1" si="2"/>
        <v>0</v>
      </c>
      <c r="AR8">
        <f t="shared" ca="1" si="2"/>
        <v>0</v>
      </c>
      <c r="AU8">
        <f t="shared" ca="1" si="2"/>
        <v>0</v>
      </c>
      <c r="AX8">
        <f t="shared" ca="1" si="2"/>
        <v>0</v>
      </c>
      <c r="BA8">
        <f t="shared" ca="1" si="2"/>
        <v>0</v>
      </c>
      <c r="BD8">
        <f t="shared" ca="1" si="2"/>
        <v>0</v>
      </c>
      <c r="BG8">
        <f t="shared" ca="1" si="2"/>
        <v>0</v>
      </c>
      <c r="BJ8">
        <f t="shared" ca="1" si="2"/>
        <v>0</v>
      </c>
      <c r="BM8">
        <f t="shared" ca="1" si="2"/>
        <v>0</v>
      </c>
      <c r="BP8">
        <f t="shared" ca="1" si="2"/>
        <v>0</v>
      </c>
      <c r="BS8">
        <f t="shared" ca="1" si="2"/>
        <v>0</v>
      </c>
      <c r="BV8">
        <f t="shared" ref="BV8:CZ8" ca="1" si="3">COUNTIF(INDIRECT(BU1&amp;"10:"&amp;BU1&amp;"1048576"),"&lt;&gt;")</f>
        <v>0</v>
      </c>
      <c r="BY8">
        <f t="shared" ca="1" si="3"/>
        <v>0</v>
      </c>
      <c r="CB8">
        <f t="shared" ca="1" si="3"/>
        <v>0</v>
      </c>
      <c r="CE8">
        <f t="shared" ca="1" si="3"/>
        <v>0</v>
      </c>
      <c r="CH8">
        <f t="shared" ca="1" si="3"/>
        <v>0</v>
      </c>
      <c r="CK8">
        <f t="shared" ca="1" si="3"/>
        <v>0</v>
      </c>
      <c r="CN8">
        <f t="shared" ca="1" si="3"/>
        <v>0</v>
      </c>
      <c r="CQ8">
        <f t="shared" ca="1" si="3"/>
        <v>0</v>
      </c>
      <c r="CT8">
        <f t="shared" ca="1" si="3"/>
        <v>0</v>
      </c>
      <c r="CW8">
        <f t="shared" ca="1" si="3"/>
        <v>0</v>
      </c>
      <c r="CZ8">
        <f t="shared" ca="1" si="3"/>
        <v>0</v>
      </c>
    </row>
    <row r="9" spans="1:106" s="16" customFormat="1">
      <c r="A9" s="38" t="str">
        <f>'Quality Report'!B3</f>
        <v>UniqueID</v>
      </c>
      <c r="B9" s="38" t="str">
        <f>TRIM($B$3)</f>
        <v>Email</v>
      </c>
      <c r="D9" s="22" t="s">
        <v>97</v>
      </c>
      <c r="E9" s="22" t="s">
        <v>117</v>
      </c>
      <c r="G9" s="22" t="s">
        <v>97</v>
      </c>
      <c r="H9" s="22" t="s">
        <v>118</v>
      </c>
      <c r="J9" s="22" t="s">
        <v>97</v>
      </c>
      <c r="K9" s="22" t="s">
        <v>119</v>
      </c>
      <c r="M9" s="22" t="s">
        <v>97</v>
      </c>
      <c r="N9" s="22" t="s">
        <v>120</v>
      </c>
      <c r="P9" s="22" t="s">
        <v>97</v>
      </c>
      <c r="Q9" s="22" t="s">
        <v>27</v>
      </c>
      <c r="S9" s="22" t="s">
        <v>97</v>
      </c>
      <c r="T9" s="22" t="s">
        <v>121</v>
      </c>
      <c r="V9" s="22"/>
      <c r="W9" s="22"/>
      <c r="Y9" s="22"/>
      <c r="Z9" s="22"/>
      <c r="AB9" s="22"/>
      <c r="AC9" s="22"/>
    </row>
    <row r="10" spans="1:106">
      <c r="A10" s="35" t="str" cm="1">
        <f t="array" aca="1" ref="A10" ca="1">_xlfn._xlws.FILTER(
  ReportData[UniqueID],
  LEN(TRIM(CLEAN(SUBSTITUTE(INDIRECT("ReportData[" &amp; $B$3 &amp; "]"),CHAR(160),""))))=0,
  "No missing values"
)</f>
        <v>ID016</v>
      </c>
      <c r="B10" s="35" t="str" cm="1">
        <f t="array" aca="1" ref="B10" ca="1">_xlfn._xlws.FILTER("" &amp; INDIRECT("ReportData[" &amp; $B$3 &amp; "]"),LEN(TRIM(CLEAN(SUBSTITUTE(INDIRECT("ReportData[" &amp; $B$3 &amp; "]"),CHAR(160)," "))))=0,"No missing values")</f>
        <v/>
      </c>
      <c r="D10" t="s">
        <v>56</v>
      </c>
      <c r="G10" t="s">
        <v>57</v>
      </c>
      <c r="J10" t="s">
        <v>58</v>
      </c>
      <c r="M10" t="s">
        <v>59</v>
      </c>
      <c r="P10" t="s">
        <v>60</v>
      </c>
      <c r="S10" t="s">
        <v>61</v>
      </c>
    </row>
    <row r="11" spans="1:106">
      <c r="D11" t="s">
        <v>91</v>
      </c>
      <c r="G11" t="s">
        <v>92</v>
      </c>
      <c r="J11" t="s">
        <v>93</v>
      </c>
      <c r="M11" t="s">
        <v>94</v>
      </c>
      <c r="P11" t="s">
        <v>95</v>
      </c>
    </row>
  </sheetData>
  <mergeCells count="2">
    <mergeCell ref="D3:D4"/>
    <mergeCell ref="E3:E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ill_From_QualityReport_AlwaysOverwriteB3">
                <anchor moveWithCells="1" sizeWithCells="1">
                  <from>
                    <xdr:col>1</xdr:col>
                    <xdr:colOff>2324100</xdr:colOff>
                    <xdr:row>0</xdr:row>
                    <xdr:rowOff>63500</xdr:rowOff>
                  </from>
                  <to>
                    <xdr:col>1</xdr:col>
                    <xdr:colOff>3238500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FromD9RightAndBelow">
                <anchor moveWithCells="1" sizeWithCells="1">
                  <from>
                    <xdr:col>1</xdr:col>
                    <xdr:colOff>12700</xdr:colOff>
                    <xdr:row>0</xdr:row>
                    <xdr:rowOff>57150</xdr:rowOff>
                  </from>
                  <to>
                    <xdr:col>1</xdr:col>
                    <xdr:colOff>939800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F36F6-4BA4-4AC3-B315-55C18DB8F10F}">
  <sheetPr codeName="Sheet16"/>
  <dimension ref="A1:DP270"/>
  <sheetViews>
    <sheetView workbookViewId="0">
      <selection activeCell="B4" sqref="B4"/>
    </sheetView>
  </sheetViews>
  <sheetFormatPr defaultRowHeight="14.5"/>
  <cols>
    <col min="1" max="1" width="31.7265625" style="24" bestFit="1" customWidth="1"/>
    <col min="2" max="2" width="46.81640625" style="24" customWidth="1"/>
    <col min="4" max="4" width="34.7265625" bestFit="1" customWidth="1"/>
    <col min="5" max="5" width="27.36328125" customWidth="1"/>
    <col min="7" max="7" width="31.7265625" bestFit="1" customWidth="1"/>
    <col min="8" max="8" width="28.36328125" bestFit="1" customWidth="1"/>
    <col min="10" max="10" width="31.7265625" bestFit="1" customWidth="1"/>
    <col min="11" max="11" width="51.7265625" bestFit="1" customWidth="1"/>
    <col min="13" max="13" width="31.7265625" bestFit="1" customWidth="1"/>
    <col min="14" max="14" width="27.36328125" bestFit="1" customWidth="1"/>
    <col min="16" max="16" width="31.7265625" bestFit="1" customWidth="1"/>
    <col min="17" max="17" width="27.36328125" bestFit="1" customWidth="1"/>
    <col min="19" max="19" width="31.7265625" bestFit="1" customWidth="1"/>
    <col min="20" max="20" width="25.1796875" bestFit="1" customWidth="1"/>
    <col min="22" max="22" width="31.7265625" bestFit="1" customWidth="1"/>
    <col min="23" max="23" width="21.26953125" bestFit="1" customWidth="1"/>
    <col min="25" max="25" width="31.7265625" bestFit="1" customWidth="1"/>
    <col min="26" max="26" width="41" bestFit="1" customWidth="1"/>
    <col min="28" max="28" width="31.7265625" bestFit="1" customWidth="1"/>
    <col min="29" max="29" width="35.7265625" bestFit="1" customWidth="1"/>
    <col min="31" max="31" width="31.7265625" bestFit="1" customWidth="1"/>
    <col min="32" max="32" width="33.81640625" bestFit="1" customWidth="1"/>
    <col min="34" max="35" width="31.7265625" bestFit="1" customWidth="1"/>
    <col min="37" max="37" width="31.7265625" bestFit="1" customWidth="1"/>
    <col min="38" max="38" width="11.7265625" bestFit="1" customWidth="1"/>
    <col min="40" max="40" width="31.7265625" bestFit="1" customWidth="1"/>
    <col min="41" max="41" width="33.26953125" bestFit="1" customWidth="1"/>
    <col min="43" max="43" width="31.7265625" bestFit="1" customWidth="1"/>
    <col min="44" max="44" width="37.1796875" bestFit="1" customWidth="1"/>
    <col min="46" max="46" width="31.7265625" bestFit="1" customWidth="1"/>
    <col min="47" max="47" width="29.7265625" bestFit="1" customWidth="1"/>
    <col min="49" max="49" width="31.7265625" bestFit="1" customWidth="1"/>
    <col min="50" max="50" width="30.26953125" bestFit="1" customWidth="1"/>
    <col min="52" max="52" width="31.7265625" bestFit="1" customWidth="1"/>
    <col min="53" max="53" width="33.54296875" bestFit="1" customWidth="1"/>
    <col min="55" max="55" width="31.7265625" bestFit="1" customWidth="1"/>
    <col min="56" max="56" width="33.81640625" bestFit="1" customWidth="1"/>
    <col min="58" max="58" width="31.7265625" bestFit="1" customWidth="1"/>
    <col min="59" max="59" width="31.08984375" bestFit="1" customWidth="1"/>
    <col min="61" max="61" width="31.7265625" bestFit="1" customWidth="1"/>
    <col min="62" max="62" width="30.90625" bestFit="1" customWidth="1"/>
    <col min="64" max="64" width="31.7265625" bestFit="1" customWidth="1"/>
    <col min="65" max="65" width="35.54296875" bestFit="1" customWidth="1"/>
    <col min="67" max="67" width="31.7265625" bestFit="1" customWidth="1"/>
    <col min="68" max="68" width="26.1796875" bestFit="1" customWidth="1"/>
    <col min="70" max="70" width="31.7265625" bestFit="1" customWidth="1"/>
    <col min="71" max="71" width="36" bestFit="1" customWidth="1"/>
    <col min="73" max="73" width="31.7265625" bestFit="1" customWidth="1"/>
    <col min="74" max="74" width="26.1796875" bestFit="1" customWidth="1"/>
  </cols>
  <sheetData>
    <row r="1" spans="1:120">
      <c r="A1" s="47" t="s">
        <v>20</v>
      </c>
      <c r="D1" t="str">
        <f>SUBSTITUTE(ADDRESS(1, COLUMN(), 4), "1", "")</f>
        <v>D</v>
      </c>
      <c r="E1" t="str">
        <f t="shared" ref="E1:BP1" si="0">SUBSTITUTE(ADDRESS(1, COLUMN(), 4), "1", "")</f>
        <v>E</v>
      </c>
      <c r="F1" t="str">
        <f t="shared" si="0"/>
        <v>F</v>
      </c>
      <c r="G1" t="str">
        <f t="shared" si="0"/>
        <v>G</v>
      </c>
      <c r="H1" t="str">
        <f t="shared" si="0"/>
        <v>H</v>
      </c>
      <c r="I1" t="str">
        <f t="shared" si="0"/>
        <v>I</v>
      </c>
      <c r="J1" t="str">
        <f t="shared" si="0"/>
        <v>J</v>
      </c>
      <c r="K1" t="str">
        <f t="shared" si="0"/>
        <v>K</v>
      </c>
      <c r="L1" t="str">
        <f t="shared" si="0"/>
        <v>L</v>
      </c>
      <c r="M1" t="str">
        <f t="shared" si="0"/>
        <v>M</v>
      </c>
      <c r="N1" t="str">
        <f t="shared" si="0"/>
        <v>N</v>
      </c>
      <c r="O1" t="str">
        <f t="shared" si="0"/>
        <v>O</v>
      </c>
      <c r="P1" t="str">
        <f t="shared" si="0"/>
        <v>P</v>
      </c>
      <c r="Q1" t="str">
        <f t="shared" si="0"/>
        <v>Q</v>
      </c>
      <c r="R1" t="str">
        <f t="shared" si="0"/>
        <v>R</v>
      </c>
      <c r="S1" t="str">
        <f t="shared" si="0"/>
        <v>S</v>
      </c>
      <c r="T1" t="str">
        <f t="shared" si="0"/>
        <v>T</v>
      </c>
      <c r="U1" t="str">
        <f t="shared" si="0"/>
        <v>U</v>
      </c>
      <c r="V1" t="str">
        <f t="shared" si="0"/>
        <v>V</v>
      </c>
      <c r="W1" t="str">
        <f t="shared" si="0"/>
        <v>W</v>
      </c>
      <c r="X1" t="str">
        <f t="shared" si="0"/>
        <v>X</v>
      </c>
      <c r="Y1" t="str">
        <f t="shared" si="0"/>
        <v>Y</v>
      </c>
      <c r="Z1" t="str">
        <f t="shared" si="0"/>
        <v>Z</v>
      </c>
      <c r="AA1" t="str">
        <f t="shared" si="0"/>
        <v>AA</v>
      </c>
      <c r="AB1" t="str">
        <f t="shared" si="0"/>
        <v>AB</v>
      </c>
      <c r="AC1" t="str">
        <f t="shared" si="0"/>
        <v>AC</v>
      </c>
      <c r="AD1" t="str">
        <f t="shared" si="0"/>
        <v>AD</v>
      </c>
      <c r="AE1" t="str">
        <f t="shared" si="0"/>
        <v>AE</v>
      </c>
      <c r="AF1" t="str">
        <f t="shared" si="0"/>
        <v>AF</v>
      </c>
      <c r="AG1" t="str">
        <f t="shared" si="0"/>
        <v>AG</v>
      </c>
      <c r="AH1" t="str">
        <f t="shared" si="0"/>
        <v>AH</v>
      </c>
      <c r="AI1" t="str">
        <f t="shared" si="0"/>
        <v>AI</v>
      </c>
      <c r="AJ1" t="str">
        <f t="shared" si="0"/>
        <v>AJ</v>
      </c>
      <c r="AK1" t="str">
        <f t="shared" si="0"/>
        <v>AK</v>
      </c>
      <c r="AL1" t="str">
        <f t="shared" si="0"/>
        <v>AL</v>
      </c>
      <c r="AM1" t="str">
        <f t="shared" si="0"/>
        <v>AM</v>
      </c>
      <c r="AN1" t="str">
        <f t="shared" si="0"/>
        <v>AN</v>
      </c>
      <c r="AO1" t="str">
        <f t="shared" si="0"/>
        <v>AO</v>
      </c>
      <c r="AP1" t="str">
        <f t="shared" si="0"/>
        <v>AP</v>
      </c>
      <c r="AQ1" t="str">
        <f t="shared" si="0"/>
        <v>AQ</v>
      </c>
      <c r="AR1" t="str">
        <f t="shared" si="0"/>
        <v>AR</v>
      </c>
      <c r="AS1" t="str">
        <f t="shared" si="0"/>
        <v>AS</v>
      </c>
      <c r="AT1" t="str">
        <f t="shared" si="0"/>
        <v>AT</v>
      </c>
      <c r="AU1" t="str">
        <f t="shared" si="0"/>
        <v>AU</v>
      </c>
      <c r="AV1" t="str">
        <f t="shared" si="0"/>
        <v>AV</v>
      </c>
      <c r="AW1" t="str">
        <f t="shared" si="0"/>
        <v>AW</v>
      </c>
      <c r="AX1" t="str">
        <f t="shared" si="0"/>
        <v>AX</v>
      </c>
      <c r="AY1" t="str">
        <f t="shared" si="0"/>
        <v>AY</v>
      </c>
      <c r="AZ1" t="str">
        <f t="shared" si="0"/>
        <v>AZ</v>
      </c>
      <c r="BA1" t="str">
        <f t="shared" si="0"/>
        <v>BA</v>
      </c>
      <c r="BB1" t="str">
        <f t="shared" si="0"/>
        <v>BB</v>
      </c>
      <c r="BC1" t="str">
        <f t="shared" si="0"/>
        <v>BC</v>
      </c>
      <c r="BD1" t="str">
        <f t="shared" si="0"/>
        <v>BD</v>
      </c>
      <c r="BE1" t="str">
        <f t="shared" si="0"/>
        <v>BE</v>
      </c>
      <c r="BF1" t="str">
        <f t="shared" si="0"/>
        <v>BF</v>
      </c>
      <c r="BG1" t="str">
        <f t="shared" si="0"/>
        <v>BG</v>
      </c>
      <c r="BH1" t="str">
        <f t="shared" si="0"/>
        <v>BH</v>
      </c>
      <c r="BI1" t="str">
        <f t="shared" si="0"/>
        <v>BI</v>
      </c>
      <c r="BJ1" t="str">
        <f t="shared" si="0"/>
        <v>BJ</v>
      </c>
      <c r="BK1" t="str">
        <f t="shared" si="0"/>
        <v>BK</v>
      </c>
      <c r="BL1" t="str">
        <f t="shared" si="0"/>
        <v>BL</v>
      </c>
      <c r="BM1" t="str">
        <f t="shared" si="0"/>
        <v>BM</v>
      </c>
      <c r="BN1" t="str">
        <f t="shared" si="0"/>
        <v>BN</v>
      </c>
      <c r="BO1" t="str">
        <f t="shared" si="0"/>
        <v>BO</v>
      </c>
      <c r="BP1" t="str">
        <f t="shared" si="0"/>
        <v>BP</v>
      </c>
      <c r="BQ1" t="str">
        <f t="shared" ref="BQ1:DP1" si="1">SUBSTITUTE(ADDRESS(1, COLUMN(), 4), "1", "")</f>
        <v>BQ</v>
      </c>
      <c r="BR1" t="str">
        <f t="shared" si="1"/>
        <v>BR</v>
      </c>
      <c r="BS1" t="str">
        <f t="shared" si="1"/>
        <v>BS</v>
      </c>
      <c r="BT1" t="str">
        <f t="shared" si="1"/>
        <v>BT</v>
      </c>
      <c r="BU1" t="str">
        <f t="shared" si="1"/>
        <v>BU</v>
      </c>
      <c r="BV1" t="str">
        <f t="shared" si="1"/>
        <v>BV</v>
      </c>
      <c r="BW1" t="str">
        <f t="shared" si="1"/>
        <v>BW</v>
      </c>
      <c r="BX1" t="str">
        <f t="shared" si="1"/>
        <v>BX</v>
      </c>
      <c r="BY1" t="str">
        <f t="shared" si="1"/>
        <v>BY</v>
      </c>
      <c r="BZ1" t="str">
        <f t="shared" si="1"/>
        <v>BZ</v>
      </c>
      <c r="CA1" t="str">
        <f t="shared" si="1"/>
        <v>CA</v>
      </c>
      <c r="CB1" t="str">
        <f t="shared" si="1"/>
        <v>CB</v>
      </c>
      <c r="CC1" t="str">
        <f t="shared" si="1"/>
        <v>CC</v>
      </c>
      <c r="CD1" t="str">
        <f t="shared" si="1"/>
        <v>CD</v>
      </c>
      <c r="CE1" t="str">
        <f t="shared" si="1"/>
        <v>CE</v>
      </c>
      <c r="CF1" t="str">
        <f t="shared" si="1"/>
        <v>CF</v>
      </c>
      <c r="CG1" t="str">
        <f t="shared" si="1"/>
        <v>CG</v>
      </c>
      <c r="CH1" t="str">
        <f t="shared" si="1"/>
        <v>CH</v>
      </c>
      <c r="CI1" t="str">
        <f t="shared" si="1"/>
        <v>CI</v>
      </c>
      <c r="CJ1" t="str">
        <f t="shared" si="1"/>
        <v>CJ</v>
      </c>
      <c r="CK1" t="str">
        <f t="shared" si="1"/>
        <v>CK</v>
      </c>
      <c r="CL1" t="str">
        <f t="shared" si="1"/>
        <v>CL</v>
      </c>
      <c r="CM1" t="str">
        <f t="shared" si="1"/>
        <v>CM</v>
      </c>
      <c r="CN1" t="str">
        <f t="shared" si="1"/>
        <v>CN</v>
      </c>
      <c r="CO1" t="str">
        <f t="shared" si="1"/>
        <v>CO</v>
      </c>
      <c r="CP1" t="str">
        <f t="shared" si="1"/>
        <v>CP</v>
      </c>
      <c r="CQ1" t="str">
        <f t="shared" si="1"/>
        <v>CQ</v>
      </c>
      <c r="CR1" t="str">
        <f t="shared" si="1"/>
        <v>CR</v>
      </c>
      <c r="CS1" t="str">
        <f t="shared" si="1"/>
        <v>CS</v>
      </c>
      <c r="CT1" t="str">
        <f t="shared" si="1"/>
        <v>CT</v>
      </c>
      <c r="CU1" t="str">
        <f t="shared" si="1"/>
        <v>CU</v>
      </c>
      <c r="CV1" t="str">
        <f t="shared" si="1"/>
        <v>CV</v>
      </c>
      <c r="CW1" t="str">
        <f t="shared" si="1"/>
        <v>CW</v>
      </c>
      <c r="CX1" t="str">
        <f t="shared" si="1"/>
        <v>CX</v>
      </c>
      <c r="CY1" t="str">
        <f t="shared" si="1"/>
        <v>CY</v>
      </c>
      <c r="CZ1" t="str">
        <f t="shared" si="1"/>
        <v>CZ</v>
      </c>
      <c r="DA1" t="str">
        <f t="shared" si="1"/>
        <v>DA</v>
      </c>
      <c r="DB1" t="str">
        <f t="shared" si="1"/>
        <v>DB</v>
      </c>
      <c r="DC1" t="str">
        <f t="shared" si="1"/>
        <v>DC</v>
      </c>
      <c r="DD1" t="str">
        <f t="shared" si="1"/>
        <v>DD</v>
      </c>
      <c r="DE1" t="str">
        <f t="shared" si="1"/>
        <v>DE</v>
      </c>
      <c r="DF1" t="str">
        <f t="shared" si="1"/>
        <v>DF</v>
      </c>
      <c r="DG1" t="str">
        <f t="shared" si="1"/>
        <v>DG</v>
      </c>
      <c r="DH1" t="str">
        <f t="shared" si="1"/>
        <v>DH</v>
      </c>
      <c r="DI1" t="str">
        <f t="shared" si="1"/>
        <v>DI</v>
      </c>
      <c r="DJ1" t="str">
        <f t="shared" si="1"/>
        <v>DJ</v>
      </c>
      <c r="DK1" t="str">
        <f t="shared" si="1"/>
        <v>DK</v>
      </c>
      <c r="DL1" t="str">
        <f t="shared" si="1"/>
        <v>DL</v>
      </c>
      <c r="DM1" t="str">
        <f t="shared" si="1"/>
        <v>DM</v>
      </c>
      <c r="DN1" t="str">
        <f t="shared" si="1"/>
        <v>DN</v>
      </c>
      <c r="DO1" t="str">
        <f t="shared" si="1"/>
        <v>DO</v>
      </c>
      <c r="DP1" t="str">
        <f t="shared" si="1"/>
        <v>DP</v>
      </c>
    </row>
    <row r="2" spans="1:120" ht="15" thickBot="1">
      <c r="K2" t="s">
        <v>34</v>
      </c>
    </row>
    <row r="3" spans="1:120" ht="15" thickBot="1">
      <c r="A3" s="42" t="s">
        <v>38</v>
      </c>
      <c r="B3" s="43" t="s">
        <v>121</v>
      </c>
      <c r="D3" s="110" t="s">
        <v>35</v>
      </c>
      <c r="E3" s="108">
        <f>COUNTIFS(6:6,"&lt;&gt;0",6:6,"&lt;&gt;")</f>
        <v>2</v>
      </c>
      <c r="K3" t="s">
        <v>33</v>
      </c>
    </row>
    <row r="4" spans="1:120" ht="15" thickBot="1">
      <c r="A4" s="25"/>
      <c r="D4" s="111"/>
      <c r="E4" s="109"/>
    </row>
    <row r="6" spans="1:120">
      <c r="D6" s="20" t="str">
        <f>E9</f>
        <v>Amount</v>
      </c>
      <c r="G6" s="20" t="str">
        <f t="shared" ref="G6" si="2">H9</f>
        <v>Email</v>
      </c>
      <c r="J6" s="20">
        <f t="shared" ref="J6" si="3">K9</f>
        <v>0</v>
      </c>
      <c r="M6" s="20">
        <f t="shared" ref="M6" si="4">N9</f>
        <v>0</v>
      </c>
      <c r="P6" s="20">
        <f t="shared" ref="P6" si="5">Q9</f>
        <v>0</v>
      </c>
      <c r="S6" s="20">
        <f t="shared" ref="S6" si="6">T9</f>
        <v>0</v>
      </c>
      <c r="V6" s="20">
        <f t="shared" ref="V6" si="7">W9</f>
        <v>0</v>
      </c>
      <c r="Y6" s="20">
        <f t="shared" ref="Y6" si="8">Z9</f>
        <v>0</v>
      </c>
      <c r="AB6" s="20">
        <f t="shared" ref="AB6" si="9">AC9</f>
        <v>0</v>
      </c>
      <c r="AE6" s="20">
        <f t="shared" ref="AE6" si="10">AF9</f>
        <v>0</v>
      </c>
      <c r="AH6" s="20">
        <f t="shared" ref="AH6" si="11">AI9</f>
        <v>0</v>
      </c>
      <c r="AK6" s="20">
        <f t="shared" ref="AK6" si="12">AL9</f>
        <v>0</v>
      </c>
      <c r="AN6" s="20">
        <f t="shared" ref="AN6" si="13">AO9</f>
        <v>0</v>
      </c>
      <c r="AQ6" s="20">
        <f t="shared" ref="AQ6" si="14">AR9</f>
        <v>0</v>
      </c>
      <c r="AT6" s="20">
        <f t="shared" ref="AT6" si="15">AU9</f>
        <v>0</v>
      </c>
      <c r="AW6" s="20">
        <f t="shared" ref="AW6" si="16">AX9</f>
        <v>0</v>
      </c>
      <c r="AZ6" s="20">
        <f t="shared" ref="AZ6" si="17">BA9</f>
        <v>0</v>
      </c>
      <c r="BC6" s="20">
        <f t="shared" ref="BC6" si="18">BD9</f>
        <v>0</v>
      </c>
      <c r="BF6" s="20">
        <f t="shared" ref="BF6" si="19">BG9</f>
        <v>0</v>
      </c>
      <c r="BI6" s="20">
        <f t="shared" ref="BI6" si="20">BJ9</f>
        <v>0</v>
      </c>
      <c r="BL6" s="20">
        <f t="shared" ref="BL6" si="21">BM9</f>
        <v>0</v>
      </c>
      <c r="BO6" s="20">
        <f t="shared" ref="BO6" si="22">BP9</f>
        <v>0</v>
      </c>
      <c r="BR6" s="20">
        <f t="shared" ref="BR6" si="23">BS9</f>
        <v>0</v>
      </c>
      <c r="BU6" s="20">
        <f t="shared" ref="BU6" si="24">BV9</f>
        <v>0</v>
      </c>
      <c r="BX6" s="20">
        <f t="shared" ref="BX6" si="25">BY9</f>
        <v>0</v>
      </c>
      <c r="CA6" s="20">
        <f t="shared" ref="CA6" si="26">CB9</f>
        <v>0</v>
      </c>
      <c r="CD6" s="20">
        <f t="shared" ref="CD6" si="27">CE9</f>
        <v>0</v>
      </c>
      <c r="CG6" s="20">
        <f t="shared" ref="CG6" si="28">CH9</f>
        <v>0</v>
      </c>
      <c r="CJ6" s="20">
        <f t="shared" ref="CJ6" si="29">CK9</f>
        <v>0</v>
      </c>
      <c r="CM6" s="20">
        <f t="shared" ref="CM6" si="30">CN9</f>
        <v>0</v>
      </c>
      <c r="CP6" s="20">
        <f t="shared" ref="CP6" si="31">CQ9</f>
        <v>0</v>
      </c>
      <c r="CS6" s="20">
        <f t="shared" ref="CS6" si="32">CT9</f>
        <v>0</v>
      </c>
      <c r="CV6" s="20">
        <f t="shared" ref="CV6" si="33">CW9</f>
        <v>0</v>
      </c>
      <c r="CY6" s="20">
        <f t="shared" ref="CY6" si="34">CZ9</f>
        <v>0</v>
      </c>
      <c r="DB6" s="20">
        <f t="shared" ref="DB6" si="35">DC9</f>
        <v>0</v>
      </c>
      <c r="DE6" s="20">
        <f t="shared" ref="DE6" si="36">DF9</f>
        <v>0</v>
      </c>
      <c r="DH6" s="20">
        <f t="shared" ref="DH6" si="37">DI9</f>
        <v>0</v>
      </c>
      <c r="DK6" s="20">
        <f t="shared" ref="DK6" si="38">DL9</f>
        <v>0</v>
      </c>
      <c r="DN6" s="20">
        <f t="shared" ref="DN6" si="39">DO9</f>
        <v>0</v>
      </c>
    </row>
    <row r="7" spans="1:120" s="20" customFormat="1">
      <c r="A7" s="26"/>
      <c r="B7" s="26"/>
      <c r="D7" t="s">
        <v>44</v>
      </c>
      <c r="E7">
        <f ca="1">COUNTIF(INDIRECT(D1&amp;"10:"&amp;D1&amp;"1048576"),"&lt;&gt;")</f>
        <v>2</v>
      </c>
      <c r="G7" t="s">
        <v>44</v>
      </c>
      <c r="H7">
        <f t="shared" ref="H7" ca="1" si="40">COUNTIF(INDIRECT(G1&amp;"10:"&amp;G1&amp;"1048576"),"&lt;&gt;")</f>
        <v>2</v>
      </c>
      <c r="J7" t="s">
        <v>44</v>
      </c>
      <c r="K7">
        <f t="shared" ref="K7" ca="1" si="41">COUNTIF(INDIRECT(J1&amp;"10:"&amp;J1&amp;"1048576"),"&lt;&gt;")</f>
        <v>0</v>
      </c>
      <c r="M7" t="s">
        <v>44</v>
      </c>
      <c r="N7">
        <f t="shared" ref="N7" ca="1" si="42">COUNTIF(INDIRECT(M1&amp;"10:"&amp;M1&amp;"1048576"),"&lt;&gt;")</f>
        <v>0</v>
      </c>
      <c r="P7" t="s">
        <v>44</v>
      </c>
      <c r="Q7">
        <f t="shared" ref="Q7" ca="1" si="43">COUNTIF(INDIRECT(P1&amp;"10:"&amp;P1&amp;"1048576"),"&lt;&gt;")</f>
        <v>0</v>
      </c>
      <c r="S7" t="s">
        <v>44</v>
      </c>
      <c r="T7">
        <f t="shared" ref="T7" ca="1" si="44">COUNTIF(INDIRECT(S1&amp;"10:"&amp;S1&amp;"1048576"),"&lt;&gt;")</f>
        <v>0</v>
      </c>
      <c r="V7" t="s">
        <v>44</v>
      </c>
      <c r="W7">
        <f t="shared" ref="W7" ca="1" si="45">COUNTIF(INDIRECT(V1&amp;"10:"&amp;V1&amp;"1048576"),"&lt;&gt;")</f>
        <v>0</v>
      </c>
      <c r="Y7" t="s">
        <v>44</v>
      </c>
      <c r="Z7">
        <f t="shared" ref="Z7" ca="1" si="46">COUNTIF(INDIRECT(Y1&amp;"10:"&amp;Y1&amp;"1048576"),"&lt;&gt;")</f>
        <v>0</v>
      </c>
      <c r="AB7" t="s">
        <v>44</v>
      </c>
      <c r="AC7">
        <f t="shared" ref="AC7" ca="1" si="47">COUNTIF(INDIRECT(AB1&amp;"10:"&amp;AB1&amp;"1048576"),"&lt;&gt;")</f>
        <v>0</v>
      </c>
      <c r="AE7" t="s">
        <v>44</v>
      </c>
      <c r="AF7">
        <f t="shared" ref="AF7" ca="1" si="48">COUNTIF(INDIRECT(AE1&amp;"10:"&amp;AE1&amp;"1048576"),"&lt;&gt;")</f>
        <v>0</v>
      </c>
      <c r="AH7" t="s">
        <v>44</v>
      </c>
      <c r="AI7">
        <f t="shared" ref="AI7" ca="1" si="49">COUNTIF(INDIRECT(AH1&amp;"10:"&amp;AH1&amp;"1048576"),"&lt;&gt;")</f>
        <v>0</v>
      </c>
      <c r="AK7" t="s">
        <v>44</v>
      </c>
      <c r="AL7">
        <f t="shared" ref="AL7" ca="1" si="50">COUNTIF(INDIRECT(AK1&amp;"10:"&amp;AK1&amp;"1048576"),"&lt;&gt;")</f>
        <v>0</v>
      </c>
      <c r="AN7" t="s">
        <v>44</v>
      </c>
      <c r="AO7">
        <f t="shared" ref="AO7" ca="1" si="51">COUNTIF(INDIRECT(AN1&amp;"10:"&amp;AN1&amp;"1048576"),"&lt;&gt;")</f>
        <v>0</v>
      </c>
      <c r="AQ7" t="s">
        <v>44</v>
      </c>
      <c r="AR7">
        <f t="shared" ref="AR7" ca="1" si="52">COUNTIF(INDIRECT(AQ1&amp;"10:"&amp;AQ1&amp;"1048576"),"&lt;&gt;")</f>
        <v>0</v>
      </c>
      <c r="AT7" t="s">
        <v>44</v>
      </c>
      <c r="AU7">
        <f t="shared" ref="AU7" ca="1" si="53">COUNTIF(INDIRECT(AT1&amp;"10:"&amp;AT1&amp;"1048576"),"&lt;&gt;")</f>
        <v>0</v>
      </c>
      <c r="AW7" t="s">
        <v>44</v>
      </c>
      <c r="AX7">
        <f t="shared" ref="AX7" ca="1" si="54">COUNTIF(INDIRECT(AW1&amp;"10:"&amp;AW1&amp;"1048576"),"&lt;&gt;")</f>
        <v>0</v>
      </c>
      <c r="AZ7" t="s">
        <v>44</v>
      </c>
      <c r="BA7">
        <f t="shared" ref="BA7" ca="1" si="55">COUNTIF(INDIRECT(AZ1&amp;"10:"&amp;AZ1&amp;"1048576"),"&lt;&gt;")</f>
        <v>0</v>
      </c>
      <c r="BC7" t="s">
        <v>44</v>
      </c>
      <c r="BD7">
        <f t="shared" ref="BD7" ca="1" si="56">COUNTIF(INDIRECT(BC1&amp;"10:"&amp;BC1&amp;"1048576"),"&lt;&gt;")</f>
        <v>0</v>
      </c>
      <c r="BF7" t="s">
        <v>44</v>
      </c>
      <c r="BG7">
        <f t="shared" ref="BG7" ca="1" si="57">COUNTIF(INDIRECT(BF1&amp;"10:"&amp;BF1&amp;"1048576"),"&lt;&gt;")</f>
        <v>0</v>
      </c>
      <c r="BI7" t="s">
        <v>44</v>
      </c>
      <c r="BJ7">
        <f t="shared" ref="BJ7" ca="1" si="58">COUNTIF(INDIRECT(BI1&amp;"10:"&amp;BI1&amp;"1048576"),"&lt;&gt;")</f>
        <v>0</v>
      </c>
      <c r="BL7" t="s">
        <v>44</v>
      </c>
      <c r="BM7">
        <f t="shared" ref="BM7" ca="1" si="59">COUNTIF(INDIRECT(BL1&amp;"10:"&amp;BL1&amp;"1048576"),"&lt;&gt;")</f>
        <v>0</v>
      </c>
      <c r="BO7" t="s">
        <v>44</v>
      </c>
      <c r="BP7">
        <f t="shared" ref="BP7" ca="1" si="60">COUNTIF(INDIRECT(BO1&amp;"10:"&amp;BO1&amp;"1048576"),"&lt;&gt;")</f>
        <v>0</v>
      </c>
      <c r="BR7" t="s">
        <v>44</v>
      </c>
      <c r="BS7">
        <f t="shared" ref="BS7" ca="1" si="61">COUNTIF(INDIRECT(BR1&amp;"10:"&amp;BR1&amp;"1048576"),"&lt;&gt;")</f>
        <v>0</v>
      </c>
      <c r="BU7" t="s">
        <v>44</v>
      </c>
      <c r="BV7">
        <f t="shared" ref="BV7" ca="1" si="62">COUNTIF(INDIRECT(BU1&amp;"10:"&amp;BU1&amp;"1048576"),"&lt;&gt;")</f>
        <v>0</v>
      </c>
      <c r="BX7" t="s">
        <v>44</v>
      </c>
      <c r="BY7">
        <f t="shared" ref="BY7" ca="1" si="63">COUNTIF(INDIRECT(BX1&amp;"10:"&amp;BX1&amp;"1048576"),"&lt;&gt;")</f>
        <v>0</v>
      </c>
      <c r="CA7" t="s">
        <v>44</v>
      </c>
      <c r="CB7">
        <f t="shared" ref="CB7" ca="1" si="64">COUNTIF(INDIRECT(CA1&amp;"10:"&amp;CA1&amp;"1048576"),"&lt;&gt;")</f>
        <v>0</v>
      </c>
      <c r="CD7" t="s">
        <v>44</v>
      </c>
      <c r="CE7">
        <f t="shared" ref="CE7" ca="1" si="65">COUNTIF(INDIRECT(CD1&amp;"10:"&amp;CD1&amp;"1048576"),"&lt;&gt;")</f>
        <v>0</v>
      </c>
      <c r="CG7" t="s">
        <v>44</v>
      </c>
      <c r="CH7">
        <f t="shared" ref="CH7" ca="1" si="66">COUNTIF(INDIRECT(CG1&amp;"10:"&amp;CG1&amp;"1048576"),"&lt;&gt;")</f>
        <v>0</v>
      </c>
      <c r="CJ7" t="s">
        <v>44</v>
      </c>
      <c r="CK7">
        <f t="shared" ref="CK7" ca="1" si="67">COUNTIF(INDIRECT(CJ1&amp;"10:"&amp;CJ1&amp;"1048576"),"&lt;&gt;")</f>
        <v>0</v>
      </c>
      <c r="CM7" t="s">
        <v>44</v>
      </c>
      <c r="CN7">
        <f t="shared" ref="CN7" ca="1" si="68">COUNTIF(INDIRECT(CM1&amp;"10:"&amp;CM1&amp;"1048576"),"&lt;&gt;")</f>
        <v>0</v>
      </c>
      <c r="CP7" t="s">
        <v>44</v>
      </c>
      <c r="CQ7">
        <f t="shared" ref="CQ7" ca="1" si="69">COUNTIF(INDIRECT(CP1&amp;"10:"&amp;CP1&amp;"1048576"),"&lt;&gt;")</f>
        <v>0</v>
      </c>
      <c r="CS7" t="s">
        <v>44</v>
      </c>
      <c r="CT7">
        <f t="shared" ref="CT7" ca="1" si="70">COUNTIF(INDIRECT(CS1&amp;"10:"&amp;CS1&amp;"1048576"),"&lt;&gt;")</f>
        <v>0</v>
      </c>
      <c r="CV7" t="s">
        <v>44</v>
      </c>
      <c r="CW7">
        <f t="shared" ref="CW7" ca="1" si="71">COUNTIF(INDIRECT(CV1&amp;"10:"&amp;CV1&amp;"1048576"),"&lt;&gt;")</f>
        <v>0</v>
      </c>
      <c r="CY7" t="s">
        <v>44</v>
      </c>
      <c r="CZ7">
        <f t="shared" ref="CZ7" ca="1" si="72">COUNTIF(INDIRECT(CY1&amp;"10:"&amp;CY1&amp;"1048576"),"&lt;&gt;")</f>
        <v>0</v>
      </c>
      <c r="DB7" t="s">
        <v>44</v>
      </c>
      <c r="DC7">
        <f t="shared" ref="DC7" ca="1" si="73">COUNTIF(INDIRECT(DB1&amp;"10:"&amp;DB1&amp;"1048576"),"&lt;&gt;")</f>
        <v>0</v>
      </c>
      <c r="DE7" t="s">
        <v>44</v>
      </c>
      <c r="DF7">
        <f t="shared" ref="DF7" ca="1" si="74">COUNTIF(INDIRECT(DE1&amp;"10:"&amp;DE1&amp;"1048576"),"&lt;&gt;")</f>
        <v>0</v>
      </c>
      <c r="DH7" t="s">
        <v>44</v>
      </c>
      <c r="DI7">
        <f t="shared" ref="DI7" ca="1" si="75">COUNTIF(INDIRECT(DH1&amp;"10:"&amp;DH1&amp;"1048576"),"&lt;&gt;")</f>
        <v>0</v>
      </c>
      <c r="DK7" t="s">
        <v>44</v>
      </c>
      <c r="DL7">
        <f t="shared" ref="DL7" ca="1" si="76">COUNTIF(INDIRECT(DK1&amp;"10:"&amp;DK1&amp;"1048576"),"&lt;&gt;")</f>
        <v>0</v>
      </c>
      <c r="DN7" t="s">
        <v>44</v>
      </c>
      <c r="DO7">
        <f t="shared" ref="DO7" ca="1" si="77">COUNTIF(INDIRECT(DN1&amp;"10:"&amp;DN1&amp;"1048576"),"&lt;&gt;")</f>
        <v>0</v>
      </c>
    </row>
    <row r="8" spans="1:120">
      <c r="A8" s="47" t="s">
        <v>99</v>
      </c>
      <c r="D8" t="s">
        <v>43</v>
      </c>
      <c r="E8" cm="1">
        <f t="array" ref="E8">COUNTA(_xlfn.UNIQUE(_xlfn._xlws.FILTER(E10:E1048576, E10:E1048576&lt;&gt;"")))</f>
        <v>1</v>
      </c>
      <c r="G8" t="s">
        <v>43</v>
      </c>
      <c r="H8" cm="1">
        <f t="array" ref="H8">COUNTA(_xlfn.UNIQUE(_xlfn._xlws.FILTER(H10:H1048576, H10:H1048576&lt;&gt;"")))</f>
        <v>1</v>
      </c>
      <c r="J8" t="s">
        <v>43</v>
      </c>
      <c r="K8" cm="1">
        <f t="array" ref="K8">COUNTA(_xlfn.UNIQUE(_xlfn._xlws.FILTER(K10:K1048576, K10:K1048576&lt;&gt;"")))</f>
        <v>1</v>
      </c>
      <c r="M8" t="s">
        <v>43</v>
      </c>
      <c r="N8" cm="1">
        <f t="array" ref="N8">COUNTA(_xlfn.UNIQUE(_xlfn._xlws.FILTER(N10:N1048576, N10:N1048576&lt;&gt;"")))</f>
        <v>1</v>
      </c>
      <c r="P8" t="s">
        <v>43</v>
      </c>
      <c r="Q8" cm="1">
        <f t="array" ref="Q8">COUNTA(_xlfn.UNIQUE(_xlfn._xlws.FILTER(Q10:Q1048576, Q10:Q1048576&lt;&gt;"")))</f>
        <v>1</v>
      </c>
      <c r="S8" t="s">
        <v>43</v>
      </c>
      <c r="T8" cm="1">
        <f t="array" ref="T8">COUNTA(_xlfn.UNIQUE(_xlfn._xlws.FILTER(T10:T1048576, T10:T1048576&lt;&gt;"")))</f>
        <v>1</v>
      </c>
      <c r="V8" t="s">
        <v>43</v>
      </c>
      <c r="W8" cm="1">
        <f t="array" ref="W8">COUNTA(_xlfn.UNIQUE(_xlfn._xlws.FILTER(W10:W1048576, W10:W1048576&lt;&gt;"")))</f>
        <v>1</v>
      </c>
      <c r="Y8" t="s">
        <v>43</v>
      </c>
      <c r="Z8" cm="1">
        <f t="array" ref="Z8">COUNTA(_xlfn.UNIQUE(_xlfn._xlws.FILTER(Z10:Z1048576, Z10:Z1048576&lt;&gt;"")))</f>
        <v>1</v>
      </c>
      <c r="AB8" t="s">
        <v>43</v>
      </c>
      <c r="AC8" cm="1">
        <f t="array" ref="AC8">COUNTA(_xlfn.UNIQUE(_xlfn._xlws.FILTER(AC10:AC1048576, AC10:AC1048576&lt;&gt;"")))</f>
        <v>1</v>
      </c>
      <c r="AE8" t="s">
        <v>43</v>
      </c>
      <c r="AF8" cm="1">
        <f t="array" ref="AF8">COUNTA(_xlfn.UNIQUE(_xlfn._xlws.FILTER(AF10:AF1048576, AF10:AF1048576&lt;&gt;"")))</f>
        <v>1</v>
      </c>
      <c r="AH8" t="s">
        <v>43</v>
      </c>
      <c r="AI8" cm="1">
        <f t="array" ref="AI8">COUNTA(_xlfn.UNIQUE(_xlfn._xlws.FILTER(AI10:AI1048576, AI10:AI1048576&lt;&gt;"")))</f>
        <v>1</v>
      </c>
      <c r="AK8" t="s">
        <v>43</v>
      </c>
      <c r="AL8" cm="1">
        <f t="array" ref="AL8">COUNTA(_xlfn.UNIQUE(_xlfn._xlws.FILTER(AL10:AL1048576, AL10:AL1048576&lt;&gt;"")))</f>
        <v>1</v>
      </c>
      <c r="AN8" t="s">
        <v>43</v>
      </c>
      <c r="AO8" cm="1">
        <f t="array" ref="AO8">COUNTA(_xlfn.UNIQUE(_xlfn._xlws.FILTER(AO10:AO1048576, AO10:AO1048576&lt;&gt;"")))</f>
        <v>1</v>
      </c>
      <c r="AQ8" t="s">
        <v>43</v>
      </c>
      <c r="AR8" cm="1">
        <f t="array" ref="AR8">COUNTA(_xlfn.UNIQUE(_xlfn._xlws.FILTER(AR10:AR1048576, AR10:AR1048576&lt;&gt;"")))</f>
        <v>1</v>
      </c>
      <c r="AT8" t="s">
        <v>43</v>
      </c>
      <c r="AU8" cm="1">
        <f t="array" ref="AU8">COUNTA(_xlfn.UNIQUE(_xlfn._xlws.FILTER(AU10:AU1048576, AU10:AU1048576&lt;&gt;"")))</f>
        <v>1</v>
      </c>
      <c r="AW8" t="s">
        <v>43</v>
      </c>
      <c r="AX8" cm="1">
        <f t="array" ref="AX8">COUNTA(_xlfn.UNIQUE(_xlfn._xlws.FILTER(AX10:AX1048576, AX10:AX1048576&lt;&gt;"")))</f>
        <v>1</v>
      </c>
      <c r="AZ8" t="s">
        <v>43</v>
      </c>
      <c r="BA8" cm="1">
        <f t="array" ref="BA8">COUNTA(_xlfn.UNIQUE(_xlfn._xlws.FILTER(BA10:BA1048576, BA10:BA1048576&lt;&gt;"")))</f>
        <v>1</v>
      </c>
      <c r="BC8" t="s">
        <v>43</v>
      </c>
      <c r="BD8" cm="1">
        <f t="array" ref="BD8">COUNTA(_xlfn.UNIQUE(_xlfn._xlws.FILTER(BD10:BD1048576, BD10:BD1048576&lt;&gt;"")))</f>
        <v>1</v>
      </c>
      <c r="BF8" t="s">
        <v>43</v>
      </c>
      <c r="BG8" cm="1">
        <f t="array" ref="BG8">COUNTA(_xlfn.UNIQUE(_xlfn._xlws.FILTER(BG10:BG1048576, BG10:BG1048576&lt;&gt;"")))</f>
        <v>1</v>
      </c>
      <c r="BI8" t="s">
        <v>43</v>
      </c>
      <c r="BJ8" cm="1">
        <f t="array" ref="BJ8">COUNTA(_xlfn.UNIQUE(_xlfn._xlws.FILTER(BJ10:BJ1048576, BJ10:BJ1048576&lt;&gt;"")))</f>
        <v>1</v>
      </c>
      <c r="BL8" t="s">
        <v>43</v>
      </c>
      <c r="BM8" cm="1">
        <f t="array" ref="BM8">COUNTA(_xlfn.UNIQUE(_xlfn._xlws.FILTER(BM10:BM1048576, BM10:BM1048576&lt;&gt;"")))</f>
        <v>1</v>
      </c>
      <c r="BO8" t="s">
        <v>43</v>
      </c>
      <c r="BP8" cm="1">
        <f t="array" ref="BP8">COUNTA(_xlfn.UNIQUE(_xlfn._xlws.FILTER(BP10:BP1048576, BP10:BP1048576&lt;&gt;"")))</f>
        <v>1</v>
      </c>
      <c r="BR8" t="s">
        <v>43</v>
      </c>
      <c r="BS8" cm="1">
        <f t="array" ref="BS8">COUNTA(_xlfn.UNIQUE(_xlfn._xlws.FILTER(BS10:BS1048576, BS10:BS1048576&lt;&gt;"")))</f>
        <v>1</v>
      </c>
      <c r="BU8" t="s">
        <v>43</v>
      </c>
      <c r="BV8" cm="1">
        <f t="array" ref="BV8">COUNTA(_xlfn.UNIQUE(_xlfn._xlws.FILTER(BV10:BV1048576, BV10:BV1048576&lt;&gt;"")))</f>
        <v>1</v>
      </c>
      <c r="BX8" t="s">
        <v>43</v>
      </c>
      <c r="BY8" cm="1">
        <f t="array" ref="BY8">COUNTA(_xlfn.UNIQUE(_xlfn._xlws.FILTER(BY10:BY1048576, BY10:BY1048576&lt;&gt;"")))</f>
        <v>1</v>
      </c>
      <c r="CA8" t="s">
        <v>43</v>
      </c>
      <c r="CB8" cm="1">
        <f t="array" ref="CB8">COUNTA(_xlfn.UNIQUE(_xlfn._xlws.FILTER(CB10:CB1048576, CB10:CB1048576&lt;&gt;"")))</f>
        <v>1</v>
      </c>
      <c r="CD8" t="s">
        <v>43</v>
      </c>
      <c r="CE8" cm="1">
        <f t="array" ref="CE8">COUNTA(_xlfn.UNIQUE(_xlfn._xlws.FILTER(CE10:CE1048576, CE10:CE1048576&lt;&gt;"")))</f>
        <v>1</v>
      </c>
      <c r="CG8" t="s">
        <v>43</v>
      </c>
      <c r="CH8" cm="1">
        <f t="array" ref="CH8">COUNTA(_xlfn.UNIQUE(_xlfn._xlws.FILTER(CH10:CH1048576, CH10:CH1048576&lt;&gt;"")))</f>
        <v>1</v>
      </c>
      <c r="CJ8" t="s">
        <v>43</v>
      </c>
      <c r="CK8" cm="1">
        <f t="array" ref="CK8">COUNTA(_xlfn.UNIQUE(_xlfn._xlws.FILTER(CK10:CK1048576, CK10:CK1048576&lt;&gt;"")))</f>
        <v>1</v>
      </c>
      <c r="CM8" t="s">
        <v>43</v>
      </c>
      <c r="CN8" cm="1">
        <f t="array" ref="CN8">COUNTA(_xlfn.UNIQUE(_xlfn._xlws.FILTER(CN10:CN1048576, CN10:CN1048576&lt;&gt;"")))</f>
        <v>1</v>
      </c>
      <c r="CP8" t="s">
        <v>43</v>
      </c>
      <c r="CQ8" cm="1">
        <f t="array" ref="CQ8">COUNTA(_xlfn.UNIQUE(_xlfn._xlws.FILTER(CQ10:CQ1048576, CQ10:CQ1048576&lt;&gt;"")))</f>
        <v>1</v>
      </c>
      <c r="CS8" t="s">
        <v>43</v>
      </c>
      <c r="CT8" cm="1">
        <f t="array" ref="CT8">COUNTA(_xlfn.UNIQUE(_xlfn._xlws.FILTER(CT10:CT1048576, CT10:CT1048576&lt;&gt;"")))</f>
        <v>1</v>
      </c>
      <c r="CV8" t="s">
        <v>43</v>
      </c>
      <c r="CW8" cm="1">
        <f t="array" ref="CW8">COUNTA(_xlfn.UNIQUE(_xlfn._xlws.FILTER(CW10:CW1048576, CW10:CW1048576&lt;&gt;"")))</f>
        <v>1</v>
      </c>
      <c r="CY8" t="s">
        <v>43</v>
      </c>
      <c r="CZ8" cm="1">
        <f t="array" ref="CZ8">COUNTA(_xlfn.UNIQUE(_xlfn._xlws.FILTER(CZ10:CZ1048576, CZ10:CZ1048576&lt;&gt;"")))</f>
        <v>1</v>
      </c>
      <c r="DB8" t="s">
        <v>43</v>
      </c>
      <c r="DC8" cm="1">
        <f t="array" ref="DC8">COUNTA(_xlfn.UNIQUE(_xlfn._xlws.FILTER(DC10:DC1048576, DC10:DC1048576&lt;&gt;"")))</f>
        <v>1</v>
      </c>
      <c r="DE8" t="s">
        <v>43</v>
      </c>
      <c r="DF8" cm="1">
        <f t="array" ref="DF8">COUNTA(_xlfn.UNIQUE(_xlfn._xlws.FILTER(DF10:DF1048576, DF10:DF1048576&lt;&gt;"")))</f>
        <v>1</v>
      </c>
      <c r="DH8" t="s">
        <v>43</v>
      </c>
      <c r="DI8" cm="1">
        <f t="array" ref="DI8">COUNTA(_xlfn.UNIQUE(_xlfn._xlws.FILTER(DI10:DI1048576, DI10:DI1048576&lt;&gt;"")))</f>
        <v>1</v>
      </c>
      <c r="DK8" t="s">
        <v>43</v>
      </c>
      <c r="DL8" cm="1">
        <f t="array" ref="DL8">COUNTA(_xlfn.UNIQUE(_xlfn._xlws.FILTER(DL10:DL1048576, DL10:DL1048576&lt;&gt;"")))</f>
        <v>1</v>
      </c>
      <c r="DN8" t="s">
        <v>43</v>
      </c>
      <c r="DO8" cm="1">
        <f t="array" ref="DO8">COUNTA(_xlfn.UNIQUE(_xlfn._xlws.FILTER(DO10:DO1048576, DO10:DO1048576&lt;&gt;"")))</f>
        <v>1</v>
      </c>
    </row>
    <row r="9" spans="1:120" s="16" customFormat="1">
      <c r="A9" s="27" t="str">
        <f>'Quality Report'!B3</f>
        <v>UniqueID</v>
      </c>
      <c r="B9" s="27" t="str">
        <f>TRIM($B$3)</f>
        <v>Email</v>
      </c>
      <c r="D9" s="22" t="s">
        <v>97</v>
      </c>
      <c r="E9" s="22" t="s">
        <v>120</v>
      </c>
      <c r="G9" s="22" t="s">
        <v>97</v>
      </c>
      <c r="H9" s="22" t="s">
        <v>121</v>
      </c>
      <c r="J9" s="22"/>
      <c r="K9" s="22"/>
      <c r="M9" s="22"/>
      <c r="N9" s="22"/>
      <c r="P9" s="22"/>
      <c r="Q9" s="22"/>
      <c r="S9" s="22"/>
      <c r="T9" s="22"/>
      <c r="V9" s="22"/>
      <c r="W9" s="22"/>
    </row>
    <row r="10" spans="1:120">
      <c r="A10" s="24" t="str" cm="1">
        <f t="array" aca="1" ref="A10:A11" ca="1">_xlfn._xlws.FILTER(ReportData[UniqueID],(COUNTIF(INDIRECT("ReportData[" &amp; $B$3 &amp; "]"),INDIRECT("ReportData[" &amp; $B$3 &amp; "]"))&gt;1)*(INDIRECT("ReportData[" &amp; $B$3 &amp; "]")&lt;&gt;""),"No duplicates")</f>
        <v>ID021</v>
      </c>
      <c r="B10" s="24" t="str" cm="1">
        <f t="array" aca="1" ref="B10:B11" ca="1">_xlfn._xlws.FILTER(INDIRECT("ReportData[" &amp; $B$3 &amp; "]"),(COUNTIF(INDIRECT("ReportData[" &amp; $B$3 &amp; "]"),INDIRECT("ReportData[" &amp; $B$3 &amp; "]"))&gt;1)*(INDIRECT("ReportData[" &amp; $B$3 &amp; "]")&lt;&gt;""),"No duplicates")</f>
        <v>mia.green@example.com</v>
      </c>
      <c r="D10" t="s">
        <v>46</v>
      </c>
      <c r="E10" s="56">
        <v>1250</v>
      </c>
      <c r="G10" t="s">
        <v>66</v>
      </c>
      <c r="H10" t="s">
        <v>200</v>
      </c>
    </row>
    <row r="11" spans="1:120">
      <c r="A11" s="24" t="str">
        <f ca="1"/>
        <v>ID022</v>
      </c>
      <c r="B11" s="24" t="str">
        <f ca="1"/>
        <v>mia.green@example.com</v>
      </c>
      <c r="D11" t="s">
        <v>95</v>
      </c>
      <c r="E11" s="56">
        <v>1250</v>
      </c>
      <c r="G11" t="s">
        <v>67</v>
      </c>
      <c r="H11" t="s">
        <v>200</v>
      </c>
    </row>
    <row r="12" spans="1:120">
      <c r="E12" s="56"/>
    </row>
    <row r="13" spans="1:120">
      <c r="E13" s="56"/>
    </row>
    <row r="14" spans="1:120">
      <c r="E14" s="56"/>
    </row>
    <row r="15" spans="1:120">
      <c r="E15" s="56"/>
    </row>
    <row r="16" spans="1:120">
      <c r="E16" s="56"/>
    </row>
    <row r="17" spans="5:5">
      <c r="E17" s="56"/>
    </row>
    <row r="18" spans="5:5">
      <c r="E18" s="56"/>
    </row>
    <row r="19" spans="5:5">
      <c r="E19" s="56"/>
    </row>
    <row r="20" spans="5:5">
      <c r="E20" s="56"/>
    </row>
    <row r="21" spans="5:5">
      <c r="E21" s="56"/>
    </row>
    <row r="22" spans="5:5">
      <c r="E22" s="56"/>
    </row>
    <row r="23" spans="5:5">
      <c r="E23" s="56"/>
    </row>
    <row r="24" spans="5:5">
      <c r="E24" s="56"/>
    </row>
    <row r="25" spans="5:5">
      <c r="E25" s="56"/>
    </row>
    <row r="26" spans="5:5">
      <c r="E26" s="56"/>
    </row>
    <row r="27" spans="5:5">
      <c r="E27" s="56"/>
    </row>
    <row r="28" spans="5:5">
      <c r="E28" s="56"/>
    </row>
    <row r="29" spans="5:5">
      <c r="E29" s="56"/>
    </row>
    <row r="30" spans="5:5">
      <c r="E30" s="56"/>
    </row>
    <row r="31" spans="5:5">
      <c r="E31" s="56"/>
    </row>
    <row r="32" spans="5:5">
      <c r="E32" s="56"/>
    </row>
    <row r="33" spans="5:5">
      <c r="E33" s="56"/>
    </row>
    <row r="34" spans="5:5">
      <c r="E34" s="56"/>
    </row>
    <row r="35" spans="5:5">
      <c r="E35" s="56"/>
    </row>
    <row r="36" spans="5:5">
      <c r="E36" s="56"/>
    </row>
    <row r="37" spans="5:5">
      <c r="E37" s="56"/>
    </row>
    <row r="38" spans="5:5">
      <c r="E38" s="56"/>
    </row>
    <row r="39" spans="5:5">
      <c r="E39" s="56"/>
    </row>
    <row r="40" spans="5:5">
      <c r="E40" s="56"/>
    </row>
    <row r="41" spans="5:5">
      <c r="E41" s="56"/>
    </row>
    <row r="42" spans="5:5">
      <c r="E42" s="56"/>
    </row>
    <row r="43" spans="5:5">
      <c r="E43" s="56"/>
    </row>
    <row r="44" spans="5:5">
      <c r="E44" s="56"/>
    </row>
    <row r="45" spans="5:5">
      <c r="E45" s="56"/>
    </row>
    <row r="46" spans="5:5">
      <c r="E46" s="56"/>
    </row>
    <row r="47" spans="5:5">
      <c r="E47" s="56"/>
    </row>
    <row r="48" spans="5:5">
      <c r="E48" s="56"/>
    </row>
    <row r="49" spans="5:5">
      <c r="E49" s="56"/>
    </row>
    <row r="50" spans="5:5">
      <c r="E50" s="56"/>
    </row>
    <row r="51" spans="5:5">
      <c r="E51" s="56"/>
    </row>
    <row r="52" spans="5:5">
      <c r="E52" s="56"/>
    </row>
    <row r="53" spans="5:5">
      <c r="E53" s="56"/>
    </row>
    <row r="54" spans="5:5">
      <c r="E54" s="56"/>
    </row>
    <row r="55" spans="5:5">
      <c r="E55" s="56"/>
    </row>
    <row r="56" spans="5:5">
      <c r="E56" s="56"/>
    </row>
    <row r="57" spans="5:5">
      <c r="E57" s="56"/>
    </row>
    <row r="58" spans="5:5">
      <c r="E58" s="56"/>
    </row>
    <row r="59" spans="5:5">
      <c r="E59" s="56"/>
    </row>
    <row r="60" spans="5:5">
      <c r="E60" s="56"/>
    </row>
    <row r="61" spans="5:5">
      <c r="E61" s="56"/>
    </row>
    <row r="62" spans="5:5">
      <c r="E62" s="56"/>
    </row>
    <row r="63" spans="5:5">
      <c r="E63" s="56"/>
    </row>
    <row r="64" spans="5:5">
      <c r="E64" s="56"/>
    </row>
    <row r="65" spans="5:5">
      <c r="E65" s="56"/>
    </row>
    <row r="66" spans="5:5">
      <c r="E66" s="56"/>
    </row>
    <row r="67" spans="5:5">
      <c r="E67" s="56"/>
    </row>
    <row r="68" spans="5:5">
      <c r="E68" s="56"/>
    </row>
    <row r="69" spans="5:5">
      <c r="E69" s="56"/>
    </row>
    <row r="70" spans="5:5">
      <c r="E70" s="56"/>
    </row>
    <row r="71" spans="5:5">
      <c r="E71" s="56"/>
    </row>
    <row r="72" spans="5:5">
      <c r="E72" s="56"/>
    </row>
    <row r="73" spans="5:5">
      <c r="E73" s="56"/>
    </row>
    <row r="74" spans="5:5">
      <c r="E74" s="56"/>
    </row>
    <row r="75" spans="5:5">
      <c r="E75" s="56"/>
    </row>
    <row r="76" spans="5:5">
      <c r="E76" s="56"/>
    </row>
    <row r="77" spans="5:5">
      <c r="E77" s="56"/>
    </row>
    <row r="78" spans="5:5">
      <c r="E78" s="56"/>
    </row>
    <row r="79" spans="5:5">
      <c r="E79" s="56"/>
    </row>
    <row r="80" spans="5:5">
      <c r="E80" s="56"/>
    </row>
    <row r="81" spans="5:5">
      <c r="E81" s="56"/>
    </row>
    <row r="82" spans="5:5">
      <c r="E82" s="56"/>
    </row>
    <row r="83" spans="5:5">
      <c r="E83" s="56"/>
    </row>
    <row r="84" spans="5:5">
      <c r="E84" s="56"/>
    </row>
    <row r="85" spans="5:5">
      <c r="E85" s="56"/>
    </row>
    <row r="86" spans="5:5">
      <c r="E86" s="56"/>
    </row>
    <row r="87" spans="5:5">
      <c r="E87" s="56"/>
    </row>
    <row r="88" spans="5:5">
      <c r="E88" s="56"/>
    </row>
    <row r="89" spans="5:5">
      <c r="E89" s="56"/>
    </row>
    <row r="90" spans="5:5">
      <c r="E90" s="56"/>
    </row>
    <row r="91" spans="5:5">
      <c r="E91" s="56"/>
    </row>
    <row r="92" spans="5:5">
      <c r="E92" s="56"/>
    </row>
    <row r="93" spans="5:5">
      <c r="E93" s="56"/>
    </row>
    <row r="94" spans="5:5">
      <c r="E94" s="56"/>
    </row>
    <row r="95" spans="5:5">
      <c r="E95" s="56"/>
    </row>
    <row r="96" spans="5:5">
      <c r="E96" s="56"/>
    </row>
    <row r="97" spans="5:5">
      <c r="E97" s="56"/>
    </row>
    <row r="98" spans="5:5">
      <c r="E98" s="56"/>
    </row>
    <row r="99" spans="5:5">
      <c r="E99" s="56"/>
    </row>
    <row r="100" spans="5:5">
      <c r="E100" s="56"/>
    </row>
    <row r="101" spans="5:5">
      <c r="E101" s="56"/>
    </row>
    <row r="102" spans="5:5">
      <c r="E102" s="56"/>
    </row>
    <row r="103" spans="5:5">
      <c r="E103" s="56"/>
    </row>
    <row r="104" spans="5:5">
      <c r="E104" s="56"/>
    </row>
    <row r="105" spans="5:5">
      <c r="E105" s="56"/>
    </row>
    <row r="106" spans="5:5">
      <c r="E106" s="56"/>
    </row>
    <row r="107" spans="5:5">
      <c r="E107" s="56"/>
    </row>
    <row r="108" spans="5:5">
      <c r="E108" s="56"/>
    </row>
    <row r="109" spans="5:5">
      <c r="E109" s="56"/>
    </row>
    <row r="110" spans="5:5">
      <c r="E110" s="56"/>
    </row>
    <row r="111" spans="5:5">
      <c r="E111" s="56"/>
    </row>
    <row r="112" spans="5:5">
      <c r="E112" s="56"/>
    </row>
    <row r="113" spans="5:5">
      <c r="E113" s="56"/>
    </row>
    <row r="114" spans="5:5">
      <c r="E114" s="56"/>
    </row>
    <row r="115" spans="5:5">
      <c r="E115" s="56"/>
    </row>
    <row r="116" spans="5:5">
      <c r="E116" s="56"/>
    </row>
    <row r="117" spans="5:5">
      <c r="E117" s="56"/>
    </row>
    <row r="118" spans="5:5">
      <c r="E118" s="56"/>
    </row>
    <row r="119" spans="5:5">
      <c r="E119" s="56"/>
    </row>
    <row r="120" spans="5:5">
      <c r="E120" s="56"/>
    </row>
    <row r="121" spans="5:5">
      <c r="E121" s="56"/>
    </row>
    <row r="122" spans="5:5">
      <c r="E122" s="56"/>
    </row>
    <row r="123" spans="5:5">
      <c r="E123" s="56"/>
    </row>
    <row r="124" spans="5:5">
      <c r="E124" s="56"/>
    </row>
    <row r="125" spans="5:5">
      <c r="E125" s="56"/>
    </row>
    <row r="126" spans="5:5">
      <c r="E126" s="56"/>
    </row>
    <row r="127" spans="5:5">
      <c r="E127" s="56"/>
    </row>
    <row r="128" spans="5:5">
      <c r="E128" s="56"/>
    </row>
    <row r="129" spans="5:5">
      <c r="E129" s="56"/>
    </row>
    <row r="130" spans="5:5">
      <c r="E130" s="56"/>
    </row>
    <row r="131" spans="5:5">
      <c r="E131" s="56"/>
    </row>
    <row r="132" spans="5:5">
      <c r="E132" s="56"/>
    </row>
    <row r="133" spans="5:5">
      <c r="E133" s="56"/>
    </row>
    <row r="134" spans="5:5">
      <c r="E134" s="56"/>
    </row>
    <row r="135" spans="5:5">
      <c r="E135" s="56"/>
    </row>
    <row r="136" spans="5:5">
      <c r="E136" s="56"/>
    </row>
    <row r="137" spans="5:5">
      <c r="E137" s="56"/>
    </row>
    <row r="138" spans="5:5">
      <c r="E138" s="56"/>
    </row>
    <row r="139" spans="5:5">
      <c r="E139" s="56"/>
    </row>
    <row r="140" spans="5:5">
      <c r="E140" s="56"/>
    </row>
    <row r="141" spans="5:5">
      <c r="E141" s="56"/>
    </row>
    <row r="142" spans="5:5">
      <c r="E142" s="56"/>
    </row>
    <row r="143" spans="5:5">
      <c r="E143" s="56"/>
    </row>
    <row r="144" spans="5:5">
      <c r="E144" s="56"/>
    </row>
    <row r="145" spans="5:5">
      <c r="E145" s="56"/>
    </row>
    <row r="146" spans="5:5">
      <c r="E146" s="56"/>
    </row>
    <row r="147" spans="5:5">
      <c r="E147" s="56"/>
    </row>
    <row r="148" spans="5:5">
      <c r="E148" s="56"/>
    </row>
    <row r="149" spans="5:5">
      <c r="E149" s="56"/>
    </row>
    <row r="150" spans="5:5">
      <c r="E150" s="56"/>
    </row>
    <row r="151" spans="5:5">
      <c r="E151" s="56"/>
    </row>
    <row r="152" spans="5:5">
      <c r="E152" s="56"/>
    </row>
    <row r="153" spans="5:5">
      <c r="E153" s="56"/>
    </row>
    <row r="154" spans="5:5">
      <c r="E154" s="56"/>
    </row>
    <row r="155" spans="5:5">
      <c r="E155" s="56"/>
    </row>
    <row r="156" spans="5:5">
      <c r="E156" s="56"/>
    </row>
    <row r="157" spans="5:5">
      <c r="E157" s="56"/>
    </row>
    <row r="158" spans="5:5">
      <c r="E158" s="56"/>
    </row>
    <row r="159" spans="5:5">
      <c r="E159" s="56"/>
    </row>
    <row r="160" spans="5:5">
      <c r="E160" s="56"/>
    </row>
    <row r="161" spans="5:5">
      <c r="E161" s="56"/>
    </row>
    <row r="162" spans="5:5">
      <c r="E162" s="56"/>
    </row>
    <row r="163" spans="5:5">
      <c r="E163" s="56"/>
    </row>
    <row r="164" spans="5:5">
      <c r="E164" s="56"/>
    </row>
    <row r="165" spans="5:5">
      <c r="E165" s="56"/>
    </row>
    <row r="166" spans="5:5">
      <c r="E166" s="56"/>
    </row>
    <row r="167" spans="5:5">
      <c r="E167" s="56"/>
    </row>
    <row r="168" spans="5:5">
      <c r="E168" s="56"/>
    </row>
    <row r="169" spans="5:5">
      <c r="E169" s="56"/>
    </row>
    <row r="170" spans="5:5">
      <c r="E170" s="56"/>
    </row>
    <row r="171" spans="5:5">
      <c r="E171" s="56"/>
    </row>
    <row r="172" spans="5:5">
      <c r="E172" s="56"/>
    </row>
    <row r="173" spans="5:5">
      <c r="E173" s="56"/>
    </row>
    <row r="174" spans="5:5">
      <c r="E174" s="56"/>
    </row>
    <row r="175" spans="5:5">
      <c r="E175" s="56"/>
    </row>
    <row r="176" spans="5:5">
      <c r="E176" s="56"/>
    </row>
    <row r="177" spans="5:5">
      <c r="E177" s="56"/>
    </row>
    <row r="178" spans="5:5">
      <c r="E178" s="56"/>
    </row>
    <row r="179" spans="5:5">
      <c r="E179" s="56"/>
    </row>
    <row r="180" spans="5:5">
      <c r="E180" s="56"/>
    </row>
    <row r="181" spans="5:5">
      <c r="E181" s="56"/>
    </row>
    <row r="182" spans="5:5">
      <c r="E182" s="56"/>
    </row>
    <row r="183" spans="5:5">
      <c r="E183" s="56"/>
    </row>
    <row r="184" spans="5:5">
      <c r="E184" s="56"/>
    </row>
    <row r="185" spans="5:5">
      <c r="E185" s="56"/>
    </row>
    <row r="186" spans="5:5">
      <c r="E186" s="56"/>
    </row>
    <row r="187" spans="5:5">
      <c r="E187" s="56"/>
    </row>
    <row r="188" spans="5:5">
      <c r="E188" s="56"/>
    </row>
    <row r="189" spans="5:5">
      <c r="E189" s="56"/>
    </row>
    <row r="190" spans="5:5">
      <c r="E190" s="56"/>
    </row>
    <row r="191" spans="5:5">
      <c r="E191" s="56"/>
    </row>
    <row r="192" spans="5:5">
      <c r="E192" s="56"/>
    </row>
    <row r="193" spans="5:5">
      <c r="E193" s="56"/>
    </row>
    <row r="194" spans="5:5">
      <c r="E194" s="56"/>
    </row>
    <row r="195" spans="5:5">
      <c r="E195" s="56"/>
    </row>
    <row r="196" spans="5:5">
      <c r="E196" s="56"/>
    </row>
    <row r="197" spans="5:5">
      <c r="E197" s="56"/>
    </row>
    <row r="198" spans="5:5">
      <c r="E198" s="56"/>
    </row>
    <row r="199" spans="5:5">
      <c r="E199" s="56"/>
    </row>
    <row r="200" spans="5:5">
      <c r="E200" s="56"/>
    </row>
    <row r="201" spans="5:5">
      <c r="E201" s="56"/>
    </row>
    <row r="202" spans="5:5">
      <c r="E202" s="56"/>
    </row>
    <row r="203" spans="5:5">
      <c r="E203" s="56"/>
    </row>
    <row r="204" spans="5:5">
      <c r="E204" s="56"/>
    </row>
    <row r="205" spans="5:5">
      <c r="E205" s="56"/>
    </row>
    <row r="206" spans="5:5">
      <c r="E206" s="56"/>
    </row>
    <row r="207" spans="5:5">
      <c r="E207" s="56"/>
    </row>
    <row r="208" spans="5:5">
      <c r="E208" s="56"/>
    </row>
    <row r="209" spans="5:5">
      <c r="E209" s="56"/>
    </row>
    <row r="210" spans="5:5">
      <c r="E210" s="56"/>
    </row>
    <row r="211" spans="5:5">
      <c r="E211" s="56"/>
    </row>
    <row r="212" spans="5:5">
      <c r="E212" s="56"/>
    </row>
    <row r="213" spans="5:5">
      <c r="E213" s="56"/>
    </row>
    <row r="214" spans="5:5">
      <c r="E214" s="56"/>
    </row>
    <row r="215" spans="5:5">
      <c r="E215" s="56"/>
    </row>
    <row r="216" spans="5:5">
      <c r="E216" s="56"/>
    </row>
    <row r="217" spans="5:5">
      <c r="E217" s="56"/>
    </row>
    <row r="218" spans="5:5">
      <c r="E218" s="56"/>
    </row>
    <row r="219" spans="5:5">
      <c r="E219" s="56"/>
    </row>
    <row r="220" spans="5:5">
      <c r="E220" s="56"/>
    </row>
    <row r="221" spans="5:5">
      <c r="E221" s="56"/>
    </row>
    <row r="222" spans="5:5">
      <c r="E222" s="56"/>
    </row>
    <row r="223" spans="5:5">
      <c r="E223" s="56"/>
    </row>
    <row r="224" spans="5:5">
      <c r="E224" s="56"/>
    </row>
    <row r="225" spans="5:5">
      <c r="E225" s="56"/>
    </row>
    <row r="226" spans="5:5">
      <c r="E226" s="56"/>
    </row>
    <row r="227" spans="5:5">
      <c r="E227" s="56"/>
    </row>
    <row r="228" spans="5:5">
      <c r="E228" s="56"/>
    </row>
    <row r="229" spans="5:5">
      <c r="E229" s="56"/>
    </row>
    <row r="230" spans="5:5">
      <c r="E230" s="56"/>
    </row>
    <row r="231" spans="5:5">
      <c r="E231" s="56"/>
    </row>
    <row r="232" spans="5:5">
      <c r="E232" s="56"/>
    </row>
    <row r="233" spans="5:5">
      <c r="E233" s="56"/>
    </row>
    <row r="234" spans="5:5">
      <c r="E234" s="56"/>
    </row>
    <row r="235" spans="5:5">
      <c r="E235" s="56"/>
    </row>
    <row r="236" spans="5:5">
      <c r="E236" s="56"/>
    </row>
    <row r="237" spans="5:5">
      <c r="E237" s="56"/>
    </row>
    <row r="238" spans="5:5">
      <c r="E238" s="56"/>
    </row>
    <row r="239" spans="5:5">
      <c r="E239" s="56"/>
    </row>
    <row r="240" spans="5:5">
      <c r="E240" s="56"/>
    </row>
    <row r="241" spans="5:5">
      <c r="E241" s="56"/>
    </row>
    <row r="242" spans="5:5">
      <c r="E242" s="56"/>
    </row>
    <row r="243" spans="5:5">
      <c r="E243" s="56"/>
    </row>
    <row r="244" spans="5:5">
      <c r="E244" s="56"/>
    </row>
    <row r="245" spans="5:5">
      <c r="E245" s="56"/>
    </row>
    <row r="246" spans="5:5">
      <c r="E246" s="56"/>
    </row>
    <row r="247" spans="5:5">
      <c r="E247" s="56"/>
    </row>
    <row r="248" spans="5:5">
      <c r="E248" s="56"/>
    </row>
    <row r="249" spans="5:5">
      <c r="E249" s="56"/>
    </row>
    <row r="250" spans="5:5">
      <c r="E250" s="56"/>
    </row>
    <row r="251" spans="5:5">
      <c r="E251" s="56"/>
    </row>
    <row r="252" spans="5:5">
      <c r="E252" s="56"/>
    </row>
    <row r="253" spans="5:5">
      <c r="E253" s="56"/>
    </row>
    <row r="254" spans="5:5">
      <c r="E254" s="56"/>
    </row>
    <row r="255" spans="5:5">
      <c r="E255" s="56"/>
    </row>
    <row r="256" spans="5:5">
      <c r="E256" s="56"/>
    </row>
    <row r="257" spans="5:5">
      <c r="E257" s="56"/>
    </row>
    <row r="258" spans="5:5">
      <c r="E258" s="56"/>
    </row>
    <row r="259" spans="5:5">
      <c r="E259" s="56"/>
    </row>
    <row r="260" spans="5:5">
      <c r="E260" s="56"/>
    </row>
    <row r="261" spans="5:5">
      <c r="E261" s="56"/>
    </row>
    <row r="262" spans="5:5">
      <c r="E262" s="56"/>
    </row>
    <row r="263" spans="5:5">
      <c r="E263" s="56"/>
    </row>
    <row r="264" spans="5:5">
      <c r="E264" s="56"/>
    </row>
    <row r="265" spans="5:5">
      <c r="E265" s="56"/>
    </row>
    <row r="266" spans="5:5">
      <c r="E266" s="56"/>
    </row>
    <row r="267" spans="5:5">
      <c r="E267" s="56"/>
    </row>
    <row r="268" spans="5:5">
      <c r="E268" s="56"/>
    </row>
    <row r="269" spans="5:5">
      <c r="E269" s="56"/>
    </row>
    <row r="270" spans="5:5">
      <c r="E270" s="56"/>
    </row>
  </sheetData>
  <mergeCells count="2">
    <mergeCell ref="D3:D4"/>
    <mergeCell ref="E3:E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ClearFromD9RightAndBelow">
                <anchor moveWithCells="1" sizeWithCells="1">
                  <from>
                    <xdr:col>1</xdr:col>
                    <xdr:colOff>12700</xdr:colOff>
                    <xdr:row>0</xdr:row>
                    <xdr:rowOff>57150</xdr:rowOff>
                  </from>
                  <to>
                    <xdr:col>1</xdr:col>
                    <xdr:colOff>946150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Fill_From_QualityReport_AlwaysOverwriteB3">
                <anchor moveWithCells="1" sizeWithCells="1">
                  <from>
                    <xdr:col>1</xdr:col>
                    <xdr:colOff>2324100</xdr:colOff>
                    <xdr:row>0</xdr:row>
                    <xdr:rowOff>63500</xdr:rowOff>
                  </from>
                  <to>
                    <xdr:col>1</xdr:col>
                    <xdr:colOff>3238500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2B50C-E723-4BF9-B5C3-ED2514D4F2BB}">
  <sheetPr codeName="Sheet15"/>
  <dimension ref="A1:BS15"/>
  <sheetViews>
    <sheetView workbookViewId="0">
      <selection activeCell="E25" sqref="E25"/>
    </sheetView>
  </sheetViews>
  <sheetFormatPr defaultRowHeight="14.5"/>
  <cols>
    <col min="1" max="1" width="31.7265625" style="17" bestFit="1" customWidth="1"/>
    <col min="2" max="2" width="46.81640625" style="17" customWidth="1"/>
    <col min="4" max="4" width="36.08984375" customWidth="1"/>
    <col min="5" max="5" width="37.7265625" customWidth="1"/>
    <col min="7" max="7" width="17.81640625" customWidth="1"/>
    <col min="8" max="8" width="27.36328125" bestFit="1" customWidth="1"/>
    <col min="11" max="11" width="27.36328125" bestFit="1" customWidth="1"/>
    <col min="14" max="14" width="27.36328125" bestFit="1" customWidth="1"/>
    <col min="16" max="16" width="31.7265625" bestFit="1" customWidth="1"/>
    <col min="17" max="17" width="25.1796875" bestFit="1" customWidth="1"/>
    <col min="19" max="19" width="31.7265625" bestFit="1" customWidth="1"/>
    <col min="20" max="20" width="26.1796875" bestFit="1" customWidth="1"/>
    <col min="22" max="22" width="31.7265625" bestFit="1" customWidth="1"/>
    <col min="23" max="23" width="28.7265625" bestFit="1" customWidth="1"/>
  </cols>
  <sheetData>
    <row r="1" spans="1:71">
      <c r="A1" s="17" t="s">
        <v>23</v>
      </c>
      <c r="D1" t="str">
        <f>SUBSTITUTE(ADDRESS(1, COLUMN(), 4), "1", "")</f>
        <v>D</v>
      </c>
      <c r="E1" t="str">
        <f t="shared" ref="E1:BN1" si="0">SUBSTITUTE(ADDRESS(1, COLUMN(), 4), "1", "")</f>
        <v>E</v>
      </c>
      <c r="F1" t="str">
        <f t="shared" si="0"/>
        <v>F</v>
      </c>
      <c r="G1" t="str">
        <f t="shared" si="0"/>
        <v>G</v>
      </c>
      <c r="H1" t="str">
        <f t="shared" si="0"/>
        <v>H</v>
      </c>
      <c r="I1" t="str">
        <f t="shared" si="0"/>
        <v>I</v>
      </c>
      <c r="J1" t="str">
        <f t="shared" si="0"/>
        <v>J</v>
      </c>
      <c r="K1" t="str">
        <f t="shared" si="0"/>
        <v>K</v>
      </c>
      <c r="L1" t="str">
        <f t="shared" si="0"/>
        <v>L</v>
      </c>
      <c r="M1" t="str">
        <f t="shared" si="0"/>
        <v>M</v>
      </c>
      <c r="N1" t="str">
        <f t="shared" si="0"/>
        <v>N</v>
      </c>
      <c r="O1" t="str">
        <f t="shared" si="0"/>
        <v>O</v>
      </c>
      <c r="P1" t="str">
        <f t="shared" si="0"/>
        <v>P</v>
      </c>
      <c r="Q1" t="str">
        <f t="shared" si="0"/>
        <v>Q</v>
      </c>
      <c r="R1" t="str">
        <f t="shared" si="0"/>
        <v>R</v>
      </c>
      <c r="S1" t="str">
        <f t="shared" si="0"/>
        <v>S</v>
      </c>
      <c r="T1" t="str">
        <f t="shared" si="0"/>
        <v>T</v>
      </c>
      <c r="U1" t="str">
        <f t="shared" si="0"/>
        <v>U</v>
      </c>
      <c r="V1" t="str">
        <f t="shared" si="0"/>
        <v>V</v>
      </c>
      <c r="W1" t="str">
        <f t="shared" si="0"/>
        <v>W</v>
      </c>
      <c r="X1" t="str">
        <f t="shared" si="0"/>
        <v>X</v>
      </c>
      <c r="Y1" t="str">
        <f t="shared" si="0"/>
        <v>Y</v>
      </c>
      <c r="Z1" t="str">
        <f t="shared" si="0"/>
        <v>Z</v>
      </c>
      <c r="AA1" t="str">
        <f t="shared" si="0"/>
        <v>AA</v>
      </c>
      <c r="AB1" t="str">
        <f t="shared" si="0"/>
        <v>AB</v>
      </c>
      <c r="AC1" t="str">
        <f t="shared" si="0"/>
        <v>AC</v>
      </c>
      <c r="AD1" t="str">
        <f t="shared" si="0"/>
        <v>AD</v>
      </c>
      <c r="AE1" t="str">
        <f t="shared" si="0"/>
        <v>AE</v>
      </c>
      <c r="AF1" t="str">
        <f t="shared" si="0"/>
        <v>AF</v>
      </c>
      <c r="AG1" t="str">
        <f t="shared" si="0"/>
        <v>AG</v>
      </c>
      <c r="AH1" t="str">
        <f t="shared" si="0"/>
        <v>AH</v>
      </c>
      <c r="AI1" t="str">
        <f t="shared" si="0"/>
        <v>AI</v>
      </c>
      <c r="AJ1" t="str">
        <f t="shared" si="0"/>
        <v>AJ</v>
      </c>
      <c r="AK1" t="str">
        <f t="shared" si="0"/>
        <v>AK</v>
      </c>
      <c r="AL1" t="str">
        <f t="shared" si="0"/>
        <v>AL</v>
      </c>
      <c r="AM1" t="str">
        <f t="shared" si="0"/>
        <v>AM</v>
      </c>
      <c r="AN1" t="str">
        <f t="shared" si="0"/>
        <v>AN</v>
      </c>
      <c r="AO1" t="str">
        <f t="shared" si="0"/>
        <v>AO</v>
      </c>
      <c r="AP1" t="str">
        <f t="shared" si="0"/>
        <v>AP</v>
      </c>
      <c r="AQ1" t="str">
        <f t="shared" si="0"/>
        <v>AQ</v>
      </c>
      <c r="AR1" t="str">
        <f t="shared" si="0"/>
        <v>AR</v>
      </c>
      <c r="AS1" t="str">
        <f t="shared" si="0"/>
        <v>AS</v>
      </c>
      <c r="AT1" t="str">
        <f t="shared" si="0"/>
        <v>AT</v>
      </c>
      <c r="AU1" t="str">
        <f t="shared" si="0"/>
        <v>AU</v>
      </c>
      <c r="AV1" t="str">
        <f t="shared" si="0"/>
        <v>AV</v>
      </c>
      <c r="AW1" t="str">
        <f t="shared" si="0"/>
        <v>AW</v>
      </c>
      <c r="AX1" t="str">
        <f t="shared" si="0"/>
        <v>AX</v>
      </c>
      <c r="AY1" t="str">
        <f t="shared" si="0"/>
        <v>AY</v>
      </c>
      <c r="AZ1" t="str">
        <f t="shared" si="0"/>
        <v>AZ</v>
      </c>
      <c r="BA1" t="str">
        <f t="shared" si="0"/>
        <v>BA</v>
      </c>
      <c r="BB1" t="str">
        <f t="shared" si="0"/>
        <v>BB</v>
      </c>
      <c r="BC1" t="str">
        <f t="shared" si="0"/>
        <v>BC</v>
      </c>
      <c r="BD1" t="str">
        <f t="shared" si="0"/>
        <v>BD</v>
      </c>
      <c r="BE1" t="str">
        <f t="shared" si="0"/>
        <v>BE</v>
      </c>
      <c r="BF1" t="str">
        <f t="shared" si="0"/>
        <v>BF</v>
      </c>
      <c r="BG1" t="str">
        <f t="shared" si="0"/>
        <v>BG</v>
      </c>
      <c r="BH1" t="str">
        <f t="shared" si="0"/>
        <v>BH</v>
      </c>
      <c r="BI1" t="str">
        <f t="shared" si="0"/>
        <v>BI</v>
      </c>
      <c r="BJ1" t="str">
        <f t="shared" si="0"/>
        <v>BJ</v>
      </c>
      <c r="BK1" t="str">
        <f t="shared" si="0"/>
        <v>BK</v>
      </c>
      <c r="BL1" t="str">
        <f t="shared" si="0"/>
        <v>BL</v>
      </c>
      <c r="BM1" t="str">
        <f t="shared" si="0"/>
        <v>BM</v>
      </c>
      <c r="BN1" t="str">
        <f t="shared" si="0"/>
        <v>BN</v>
      </c>
    </row>
    <row r="2" spans="1:71" ht="15" thickBot="1">
      <c r="K2" t="s">
        <v>34</v>
      </c>
    </row>
    <row r="3" spans="1:71" ht="15" thickBot="1">
      <c r="A3" s="44" t="s">
        <v>38</v>
      </c>
      <c r="B3" s="45" t="s">
        <v>117</v>
      </c>
      <c r="D3" s="110" t="s">
        <v>32</v>
      </c>
      <c r="E3" s="108">
        <f>COUNTIFS(7:7,"&lt;&gt;0",7:7,"&lt;&gt;")</f>
        <v>1</v>
      </c>
      <c r="K3" t="s">
        <v>33</v>
      </c>
    </row>
    <row r="4" spans="1:71" ht="15" thickBot="1">
      <c r="A4" s="18"/>
      <c r="D4" s="111"/>
      <c r="E4" s="109"/>
    </row>
    <row r="6" spans="1:71">
      <c r="E6" s="48" t="s">
        <v>39</v>
      </c>
      <c r="H6" s="48" t="s">
        <v>39</v>
      </c>
      <c r="K6" s="48" t="s">
        <v>39</v>
      </c>
      <c r="N6" s="48" t="s">
        <v>39</v>
      </c>
      <c r="Q6" s="48" t="s">
        <v>39</v>
      </c>
      <c r="T6" s="48" t="s">
        <v>39</v>
      </c>
      <c r="W6" s="48" t="s">
        <v>39</v>
      </c>
      <c r="Z6" s="48" t="s">
        <v>39</v>
      </c>
      <c r="AC6" s="48" t="s">
        <v>39</v>
      </c>
      <c r="AF6" s="48" t="s">
        <v>39</v>
      </c>
      <c r="AI6" s="48" t="s">
        <v>39</v>
      </c>
      <c r="AL6" s="48" t="s">
        <v>39</v>
      </c>
      <c r="AO6" s="48" t="s">
        <v>39</v>
      </c>
      <c r="AR6" s="48" t="s">
        <v>39</v>
      </c>
      <c r="AU6" s="48" t="s">
        <v>39</v>
      </c>
      <c r="AX6" s="48" t="s">
        <v>39</v>
      </c>
      <c r="BA6" s="48" t="s">
        <v>39</v>
      </c>
      <c r="BD6" s="48" t="s">
        <v>39</v>
      </c>
      <c r="BG6" s="48" t="s">
        <v>39</v>
      </c>
      <c r="BJ6" s="48" t="s">
        <v>39</v>
      </c>
      <c r="BM6" s="48" t="s">
        <v>39</v>
      </c>
      <c r="BP6" s="48" t="s">
        <v>39</v>
      </c>
      <c r="BS6" s="48" t="s">
        <v>39</v>
      </c>
    </row>
    <row r="7" spans="1:71" s="20" customFormat="1">
      <c r="A7" s="21"/>
      <c r="B7" s="21"/>
      <c r="D7" s="20" t="str">
        <f>E9</f>
        <v>CustomerName</v>
      </c>
      <c r="E7"/>
      <c r="G7" s="20">
        <f>H9</f>
        <v>0</v>
      </c>
      <c r="J7" s="20">
        <f>K9</f>
        <v>0</v>
      </c>
      <c r="M7" s="20">
        <f>N9</f>
        <v>0</v>
      </c>
      <c r="P7" s="20">
        <f>Q9</f>
        <v>0</v>
      </c>
      <c r="S7" s="20">
        <f>T9</f>
        <v>0</v>
      </c>
      <c r="V7" s="20">
        <f>W9</f>
        <v>0</v>
      </c>
    </row>
    <row r="8" spans="1:71">
      <c r="A8" s="61" t="s">
        <v>99</v>
      </c>
      <c r="E8">
        <f ca="1">COUNTIF(INDIRECT(D1&amp;"10:"&amp;D1&amp;"1048576"),"&lt;&gt;")</f>
        <v>2</v>
      </c>
      <c r="H8">
        <f t="shared" ref="H8:BJ8" ca="1" si="1">COUNTIF(INDIRECT(G1&amp;"10:"&amp;G1&amp;"1048576"),"&lt;&gt;")</f>
        <v>0</v>
      </c>
      <c r="K8">
        <f t="shared" ca="1" si="1"/>
        <v>0</v>
      </c>
      <c r="N8">
        <f t="shared" ca="1" si="1"/>
        <v>0</v>
      </c>
      <c r="Q8">
        <f t="shared" ca="1" si="1"/>
        <v>0</v>
      </c>
      <c r="T8">
        <f t="shared" ca="1" si="1"/>
        <v>0</v>
      </c>
      <c r="W8">
        <f t="shared" ca="1" si="1"/>
        <v>0</v>
      </c>
      <c r="Y8">
        <f t="shared" ca="1" si="1"/>
        <v>0</v>
      </c>
      <c r="Z8">
        <f t="shared" ca="1" si="1"/>
        <v>0</v>
      </c>
      <c r="AA8">
        <f t="shared" ca="1" si="1"/>
        <v>0</v>
      </c>
      <c r="AB8">
        <f t="shared" ca="1" si="1"/>
        <v>0</v>
      </c>
      <c r="AC8">
        <f t="shared" ca="1" si="1"/>
        <v>0</v>
      </c>
      <c r="AD8">
        <f t="shared" ca="1" si="1"/>
        <v>0</v>
      </c>
      <c r="AE8">
        <f t="shared" ca="1" si="1"/>
        <v>0</v>
      </c>
      <c r="AF8">
        <f t="shared" ca="1" si="1"/>
        <v>0</v>
      </c>
      <c r="AG8">
        <f t="shared" ca="1" si="1"/>
        <v>0</v>
      </c>
      <c r="AH8">
        <f t="shared" ca="1" si="1"/>
        <v>0</v>
      </c>
      <c r="AI8">
        <f t="shared" ca="1" si="1"/>
        <v>0</v>
      </c>
      <c r="AJ8">
        <f t="shared" ca="1" si="1"/>
        <v>0</v>
      </c>
      <c r="AK8">
        <f t="shared" ca="1" si="1"/>
        <v>0</v>
      </c>
      <c r="AL8">
        <f t="shared" ca="1" si="1"/>
        <v>0</v>
      </c>
      <c r="AM8">
        <f t="shared" ca="1" si="1"/>
        <v>0</v>
      </c>
      <c r="AN8">
        <f t="shared" ca="1" si="1"/>
        <v>0</v>
      </c>
      <c r="AO8">
        <f t="shared" ca="1" si="1"/>
        <v>0</v>
      </c>
      <c r="AP8">
        <f t="shared" ca="1" si="1"/>
        <v>0</v>
      </c>
      <c r="AQ8">
        <f t="shared" ca="1" si="1"/>
        <v>0</v>
      </c>
      <c r="AR8">
        <f t="shared" ca="1" si="1"/>
        <v>0</v>
      </c>
      <c r="AS8">
        <f t="shared" ca="1" si="1"/>
        <v>0</v>
      </c>
      <c r="AT8">
        <f t="shared" ca="1" si="1"/>
        <v>0</v>
      </c>
      <c r="AU8">
        <f t="shared" ca="1" si="1"/>
        <v>0</v>
      </c>
      <c r="AV8">
        <f t="shared" ca="1" si="1"/>
        <v>0</v>
      </c>
      <c r="AW8">
        <f t="shared" ca="1" si="1"/>
        <v>0</v>
      </c>
      <c r="AX8">
        <f t="shared" ca="1" si="1"/>
        <v>0</v>
      </c>
      <c r="AY8">
        <f t="shared" ca="1" si="1"/>
        <v>0</v>
      </c>
      <c r="AZ8">
        <f t="shared" ca="1" si="1"/>
        <v>0</v>
      </c>
      <c r="BA8">
        <f t="shared" ca="1" si="1"/>
        <v>0</v>
      </c>
      <c r="BB8">
        <f t="shared" ca="1" si="1"/>
        <v>0</v>
      </c>
      <c r="BC8">
        <f t="shared" ca="1" si="1"/>
        <v>0</v>
      </c>
      <c r="BD8">
        <f t="shared" ca="1" si="1"/>
        <v>0</v>
      </c>
      <c r="BE8">
        <f t="shared" ca="1" si="1"/>
        <v>0</v>
      </c>
      <c r="BF8">
        <f t="shared" ca="1" si="1"/>
        <v>0</v>
      </c>
      <c r="BG8">
        <f t="shared" ca="1" si="1"/>
        <v>0</v>
      </c>
      <c r="BH8">
        <f t="shared" ca="1" si="1"/>
        <v>0</v>
      </c>
      <c r="BI8">
        <f t="shared" ca="1" si="1"/>
        <v>0</v>
      </c>
      <c r="BJ8">
        <f t="shared" ca="1" si="1"/>
        <v>0</v>
      </c>
    </row>
    <row r="9" spans="1:71" s="16" customFormat="1">
      <c r="A9" s="19" t="str">
        <f>'Quality Report'!B3</f>
        <v>UniqueID</v>
      </c>
      <c r="B9" s="19" t="str">
        <f>TRIM($B$3)</f>
        <v>CustomerName</v>
      </c>
      <c r="D9" s="22" t="s">
        <v>97</v>
      </c>
      <c r="E9" s="22" t="s">
        <v>117</v>
      </c>
      <c r="G9" s="22"/>
      <c r="H9" s="22"/>
      <c r="J9" s="22"/>
      <c r="K9" s="22"/>
      <c r="M9" s="22"/>
      <c r="N9" s="22"/>
      <c r="P9" s="22"/>
      <c r="Q9" s="22"/>
      <c r="S9" s="22"/>
      <c r="T9" s="22"/>
      <c r="V9" s="22"/>
      <c r="W9" s="22"/>
    </row>
    <row r="10" spans="1:71">
      <c r="A10" s="17" t="str" cm="1">
        <f t="array" aca="1" ref="A10:A11" ca="1">_xlfn._xlws.FILTER(ReportData[UniqueID],TEXT(INDIRECT("ReportData[" &amp; $B$3 &amp; "]"),"@")&lt;&gt;
  TRIM(TEXT(INDIRECT("ReportData[" &amp; $B$3 &amp; "]"),"@")),"")</f>
        <v>ID031</v>
      </c>
      <c r="B10" s="17" t="str" cm="1">
        <f t="array" aca="1" ref="B10:B11" ca="1">_xlfn._xlws.FILTER(INDIRECT("ReportData[" &amp; $B$3 &amp; "]"),TEXT(INDIRECT("ReportData[" &amp; $B$3 &amp; "]"),"@")&lt;&gt;
  SUBSTITUTE(TRIM(SUBSTITUTE(TEXT(INDIRECT("ReportData[" &amp; $B$3 &amp; "]"),"@"),CHAR(160),"")),CHAR(160),""),"")</f>
        <v xml:space="preserve">  Oliver Martin</v>
      </c>
      <c r="D10" s="23" t="s">
        <v>76</v>
      </c>
      <c r="E10" s="23" t="s">
        <v>236</v>
      </c>
      <c r="G10" s="23"/>
      <c r="H10" s="23"/>
      <c r="J10" s="23"/>
      <c r="K10" s="23"/>
      <c r="M10" s="23"/>
      <c r="N10" s="23"/>
      <c r="P10" s="23"/>
      <c r="Q10" s="23"/>
      <c r="S10" s="23"/>
      <c r="T10" s="23"/>
      <c r="V10" s="23"/>
      <c r="W10" s="23"/>
    </row>
    <row r="11" spans="1:71">
      <c r="A11" s="17" t="str">
        <f ca="1"/>
        <v>ID032</v>
      </c>
      <c r="B11" s="17" t="str">
        <f ca="1"/>
        <v xml:space="preserve">Jessica Thompson  </v>
      </c>
      <c r="D11" s="23" t="s">
        <v>77</v>
      </c>
      <c r="E11" s="23" t="s">
        <v>240</v>
      </c>
      <c r="G11" s="23"/>
      <c r="H11" s="23"/>
      <c r="P11" s="23"/>
      <c r="Q11" s="23"/>
    </row>
    <row r="12" spans="1:71">
      <c r="D12" s="23"/>
      <c r="E12" s="23"/>
      <c r="P12" s="23"/>
      <c r="Q12" s="23"/>
    </row>
    <row r="13" spans="1:71">
      <c r="D13" s="23"/>
      <c r="E13" s="23"/>
      <c r="P13" s="23"/>
      <c r="Q13" s="23"/>
    </row>
    <row r="14" spans="1:71">
      <c r="P14" s="23"/>
      <c r="Q14" s="23"/>
    </row>
    <row r="15" spans="1:71">
      <c r="P15" s="23"/>
      <c r="Q15" s="23"/>
    </row>
  </sheetData>
  <mergeCells count="2">
    <mergeCell ref="D3:D4"/>
    <mergeCell ref="E3:E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Fill_From_QualityReport_AlwaysOverwriteB3">
                <anchor moveWithCells="1" sizeWithCells="1">
                  <from>
                    <xdr:col>1</xdr:col>
                    <xdr:colOff>2324100</xdr:colOff>
                    <xdr:row>0</xdr:row>
                    <xdr:rowOff>63500</xdr:rowOff>
                  </from>
                  <to>
                    <xdr:col>1</xdr:col>
                    <xdr:colOff>3238500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ClearFromD9RightAndBelow">
                <anchor moveWithCells="1" sizeWithCells="1">
                  <from>
                    <xdr:col>1</xdr:col>
                    <xdr:colOff>6350</xdr:colOff>
                    <xdr:row>0</xdr:row>
                    <xdr:rowOff>57150</xdr:rowOff>
                  </from>
                  <to>
                    <xdr:col>1</xdr:col>
                    <xdr:colOff>939800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5BE32-DEEF-48FE-9B01-00178D95FFC7}">
  <sheetPr codeName="Sheet22"/>
  <dimension ref="A1:BQ33"/>
  <sheetViews>
    <sheetView workbookViewId="0">
      <selection activeCell="D20" sqref="D20"/>
    </sheetView>
  </sheetViews>
  <sheetFormatPr defaultRowHeight="14.5"/>
  <cols>
    <col min="1" max="1" width="31.7265625" style="39" bestFit="1" customWidth="1"/>
    <col min="2" max="2" width="46.6328125" style="39" customWidth="1"/>
    <col min="4" max="4" width="31.7265625" bestFit="1" customWidth="1"/>
    <col min="5" max="5" width="27.36328125" customWidth="1"/>
    <col min="8" max="8" width="17.81640625" customWidth="1"/>
    <col min="9" max="9" width="27.36328125" bestFit="1" customWidth="1"/>
    <col min="11" max="11" width="28.54296875" customWidth="1"/>
    <col min="12" max="12" width="39.54296875" customWidth="1"/>
    <col min="14" max="14" width="30" customWidth="1"/>
    <col min="15" max="15" width="27.36328125" bestFit="1" customWidth="1"/>
    <col min="17" max="17" width="31.7265625" bestFit="1" customWidth="1"/>
    <col min="18" max="18" width="25.1796875" bestFit="1" customWidth="1"/>
    <col min="20" max="20" width="31.7265625" bestFit="1" customWidth="1"/>
    <col min="21" max="21" width="26.1796875" bestFit="1" customWidth="1"/>
    <col min="23" max="23" width="31.7265625" bestFit="1" customWidth="1"/>
    <col min="24" max="24" width="28.7265625" bestFit="1" customWidth="1"/>
    <col min="26" max="26" width="31.7265625" bestFit="1" customWidth="1"/>
    <col min="27" max="27" width="26.36328125" bestFit="1" customWidth="1"/>
    <col min="29" max="29" width="31.7265625" bestFit="1" customWidth="1"/>
    <col min="30" max="30" width="21.54296875" bestFit="1" customWidth="1"/>
  </cols>
  <sheetData>
    <row r="1" spans="1:69">
      <c r="D1" t="str">
        <f>SUBSTITUTE(ADDRESS(1, COLUMN(), 4), "1", "")</f>
        <v>D</v>
      </c>
      <c r="E1" t="str">
        <f t="shared" ref="E1:BN1" si="0">SUBSTITUTE(ADDRESS(1, COLUMN(), 4), "1", "")</f>
        <v>E</v>
      </c>
      <c r="F1" t="str">
        <f t="shared" si="0"/>
        <v>F</v>
      </c>
      <c r="G1" t="str">
        <f t="shared" si="0"/>
        <v>G</v>
      </c>
      <c r="H1" t="str">
        <f t="shared" si="0"/>
        <v>H</v>
      </c>
      <c r="I1" t="str">
        <f t="shared" si="0"/>
        <v>I</v>
      </c>
      <c r="J1" t="str">
        <f t="shared" si="0"/>
        <v>J</v>
      </c>
      <c r="K1" t="str">
        <f t="shared" si="0"/>
        <v>K</v>
      </c>
      <c r="L1" t="str">
        <f t="shared" si="0"/>
        <v>L</v>
      </c>
      <c r="M1" t="str">
        <f t="shared" si="0"/>
        <v>M</v>
      </c>
      <c r="N1" t="str">
        <f t="shared" si="0"/>
        <v>N</v>
      </c>
      <c r="O1" t="str">
        <f t="shared" si="0"/>
        <v>O</v>
      </c>
      <c r="P1" t="str">
        <f t="shared" si="0"/>
        <v>P</v>
      </c>
      <c r="Q1" t="str">
        <f t="shared" si="0"/>
        <v>Q</v>
      </c>
      <c r="R1" t="str">
        <f t="shared" si="0"/>
        <v>R</v>
      </c>
      <c r="S1" t="str">
        <f t="shared" si="0"/>
        <v>S</v>
      </c>
      <c r="T1" t="str">
        <f t="shared" si="0"/>
        <v>T</v>
      </c>
      <c r="U1" t="str">
        <f t="shared" si="0"/>
        <v>U</v>
      </c>
      <c r="V1" t="str">
        <f t="shared" si="0"/>
        <v>V</v>
      </c>
      <c r="W1" t="str">
        <f t="shared" si="0"/>
        <v>W</v>
      </c>
      <c r="X1" t="str">
        <f t="shared" si="0"/>
        <v>X</v>
      </c>
      <c r="Y1" t="str">
        <f t="shared" si="0"/>
        <v>Y</v>
      </c>
      <c r="Z1" t="str">
        <f t="shared" si="0"/>
        <v>Z</v>
      </c>
      <c r="AA1" t="str">
        <f t="shared" si="0"/>
        <v>AA</v>
      </c>
      <c r="AB1" t="str">
        <f t="shared" si="0"/>
        <v>AB</v>
      </c>
      <c r="AC1" t="str">
        <f t="shared" si="0"/>
        <v>AC</v>
      </c>
      <c r="AD1" t="str">
        <f t="shared" si="0"/>
        <v>AD</v>
      </c>
      <c r="AE1" t="str">
        <f t="shared" si="0"/>
        <v>AE</v>
      </c>
      <c r="AF1" t="str">
        <f t="shared" si="0"/>
        <v>AF</v>
      </c>
      <c r="AG1" t="str">
        <f t="shared" si="0"/>
        <v>AG</v>
      </c>
      <c r="AH1" t="str">
        <f t="shared" si="0"/>
        <v>AH</v>
      </c>
      <c r="AI1" t="str">
        <f t="shared" si="0"/>
        <v>AI</v>
      </c>
      <c r="AJ1" t="str">
        <f t="shared" si="0"/>
        <v>AJ</v>
      </c>
      <c r="AK1" t="str">
        <f t="shared" si="0"/>
        <v>AK</v>
      </c>
      <c r="AL1" t="str">
        <f t="shared" si="0"/>
        <v>AL</v>
      </c>
      <c r="AM1" t="str">
        <f t="shared" si="0"/>
        <v>AM</v>
      </c>
      <c r="AN1" t="str">
        <f t="shared" si="0"/>
        <v>AN</v>
      </c>
      <c r="AO1" t="str">
        <f t="shared" si="0"/>
        <v>AO</v>
      </c>
      <c r="AP1" t="str">
        <f t="shared" si="0"/>
        <v>AP</v>
      </c>
      <c r="AQ1" t="str">
        <f t="shared" si="0"/>
        <v>AQ</v>
      </c>
      <c r="AR1" t="str">
        <f t="shared" si="0"/>
        <v>AR</v>
      </c>
      <c r="AS1" t="str">
        <f t="shared" si="0"/>
        <v>AS</v>
      </c>
      <c r="AT1" t="str">
        <f t="shared" si="0"/>
        <v>AT</v>
      </c>
      <c r="AU1" t="str">
        <f t="shared" si="0"/>
        <v>AU</v>
      </c>
      <c r="AV1" t="str">
        <f t="shared" si="0"/>
        <v>AV</v>
      </c>
      <c r="AW1" t="str">
        <f t="shared" si="0"/>
        <v>AW</v>
      </c>
      <c r="AX1" t="str">
        <f t="shared" si="0"/>
        <v>AX</v>
      </c>
      <c r="AY1" t="str">
        <f t="shared" si="0"/>
        <v>AY</v>
      </c>
      <c r="AZ1" t="str">
        <f t="shared" si="0"/>
        <v>AZ</v>
      </c>
      <c r="BA1" t="str">
        <f t="shared" si="0"/>
        <v>BA</v>
      </c>
      <c r="BB1" t="str">
        <f t="shared" si="0"/>
        <v>BB</v>
      </c>
      <c r="BC1" t="str">
        <f t="shared" si="0"/>
        <v>BC</v>
      </c>
      <c r="BD1" t="str">
        <f t="shared" si="0"/>
        <v>BD</v>
      </c>
      <c r="BE1" t="str">
        <f t="shared" si="0"/>
        <v>BE</v>
      </c>
      <c r="BF1" t="str">
        <f t="shared" si="0"/>
        <v>BF</v>
      </c>
      <c r="BG1" t="str">
        <f t="shared" si="0"/>
        <v>BG</v>
      </c>
      <c r="BH1" t="str">
        <f t="shared" si="0"/>
        <v>BH</v>
      </c>
      <c r="BI1" t="str">
        <f t="shared" si="0"/>
        <v>BI</v>
      </c>
      <c r="BJ1" t="str">
        <f t="shared" si="0"/>
        <v>BJ</v>
      </c>
      <c r="BK1" t="str">
        <f t="shared" si="0"/>
        <v>BK</v>
      </c>
      <c r="BL1" t="str">
        <f t="shared" si="0"/>
        <v>BL</v>
      </c>
      <c r="BM1" t="str">
        <f t="shared" si="0"/>
        <v>BM</v>
      </c>
      <c r="BN1" t="str">
        <f t="shared" si="0"/>
        <v>BN</v>
      </c>
    </row>
    <row r="2" spans="1:69" ht="15" customHeight="1" thickBot="1">
      <c r="A2" s="112" t="s">
        <v>40</v>
      </c>
      <c r="B2" s="112"/>
      <c r="L2" t="s">
        <v>34</v>
      </c>
    </row>
    <row r="3" spans="1:69" ht="14.5" customHeight="1">
      <c r="A3" s="112"/>
      <c r="B3" s="112"/>
      <c r="D3" s="110" t="s">
        <v>37</v>
      </c>
      <c r="E3" s="108">
        <f>COUNTIFS(7:7,"&lt;&gt;0",7:7,"&lt;&gt;")</f>
        <v>1</v>
      </c>
      <c r="L3" t="s">
        <v>33</v>
      </c>
    </row>
    <row r="4" spans="1:69" ht="15" customHeight="1" thickBot="1">
      <c r="A4" s="112"/>
      <c r="B4" s="112"/>
      <c r="D4" s="111"/>
      <c r="E4" s="109"/>
    </row>
    <row r="5" spans="1:69" ht="14.5" customHeight="1">
      <c r="A5" s="112"/>
      <c r="B5" s="112"/>
    </row>
    <row r="6" spans="1:69" ht="14.5" customHeight="1">
      <c r="A6" s="112"/>
      <c r="B6" s="112"/>
      <c r="E6" s="48" t="s">
        <v>39</v>
      </c>
      <c r="I6" s="48" t="s">
        <v>39</v>
      </c>
      <c r="L6" s="48" t="s">
        <v>39</v>
      </c>
      <c r="O6" s="48" t="s">
        <v>39</v>
      </c>
      <c r="R6" s="48" t="s">
        <v>39</v>
      </c>
      <c r="U6" s="48" t="s">
        <v>39</v>
      </c>
      <c r="X6" s="48" t="s">
        <v>39</v>
      </c>
      <c r="AA6" s="48" t="s">
        <v>39</v>
      </c>
      <c r="AD6" s="48" t="s">
        <v>39</v>
      </c>
      <c r="AG6" s="48" t="s">
        <v>39</v>
      </c>
      <c r="AJ6" s="48" t="s">
        <v>39</v>
      </c>
      <c r="AM6" s="48" t="s">
        <v>39</v>
      </c>
      <c r="AP6" s="48" t="s">
        <v>39</v>
      </c>
      <c r="AS6" s="48" t="s">
        <v>39</v>
      </c>
      <c r="AV6" s="48" t="s">
        <v>39</v>
      </c>
      <c r="AY6" s="48" t="s">
        <v>39</v>
      </c>
      <c r="BB6" s="48" t="s">
        <v>39</v>
      </c>
      <c r="BE6" s="48" t="s">
        <v>39</v>
      </c>
      <c r="BH6" s="48" t="s">
        <v>39</v>
      </c>
      <c r="BK6" s="48" t="s">
        <v>39</v>
      </c>
      <c r="BN6" s="48" t="s">
        <v>39</v>
      </c>
      <c r="BQ6" s="48" t="s">
        <v>39</v>
      </c>
    </row>
    <row r="7" spans="1:69" s="20" customFormat="1" ht="14.5" customHeight="1">
      <c r="A7" s="112"/>
      <c r="B7" s="112"/>
      <c r="D7" s="20" t="str">
        <f>E9</f>
        <v>Column6</v>
      </c>
      <c r="H7" s="20">
        <f>I9</f>
        <v>0</v>
      </c>
      <c r="K7" s="20">
        <f>L9</f>
        <v>0</v>
      </c>
      <c r="N7" s="20">
        <f>O9</f>
        <v>0</v>
      </c>
      <c r="Q7" s="20">
        <f>R9</f>
        <v>0</v>
      </c>
      <c r="T7" s="20">
        <f>U9</f>
        <v>0</v>
      </c>
      <c r="W7" s="20">
        <f>X9</f>
        <v>0</v>
      </c>
      <c r="Z7" s="20">
        <f>AA9</f>
        <v>0</v>
      </c>
      <c r="AC7" s="20">
        <f>AD9</f>
        <v>0</v>
      </c>
    </row>
    <row r="8" spans="1:69" ht="14.5" customHeight="1">
      <c r="A8" s="112"/>
      <c r="B8" s="112"/>
      <c r="D8" t="s">
        <v>110</v>
      </c>
      <c r="E8">
        <f ca="1">COUNTIF(INDIRECT(D1&amp;"10:"&amp;D1&amp;"1048576"),"&lt;&gt;")</f>
        <v>1</v>
      </c>
      <c r="I8">
        <f t="shared" ref="I8:BN8" ca="1" si="1">COUNTIF(INDIRECT(H1&amp;"10:"&amp;H1&amp;"1048576"),"&lt;&gt;")</f>
        <v>0</v>
      </c>
      <c r="L8">
        <f t="shared" ca="1" si="1"/>
        <v>0</v>
      </c>
      <c r="O8">
        <f t="shared" ca="1" si="1"/>
        <v>0</v>
      </c>
      <c r="R8">
        <f t="shared" ca="1" si="1"/>
        <v>0</v>
      </c>
      <c r="U8">
        <f t="shared" ca="1" si="1"/>
        <v>0</v>
      </c>
      <c r="X8">
        <f t="shared" ca="1" si="1"/>
        <v>0</v>
      </c>
      <c r="AA8">
        <f t="shared" ca="1" si="1"/>
        <v>0</v>
      </c>
      <c r="AD8">
        <f t="shared" ca="1" si="1"/>
        <v>0</v>
      </c>
      <c r="AE8">
        <f t="shared" ca="1" si="1"/>
        <v>0</v>
      </c>
      <c r="AF8">
        <f t="shared" ca="1" si="1"/>
        <v>0</v>
      </c>
      <c r="AG8">
        <f t="shared" ca="1" si="1"/>
        <v>0</v>
      </c>
      <c r="AH8">
        <f t="shared" ca="1" si="1"/>
        <v>0</v>
      </c>
      <c r="AI8">
        <f t="shared" ca="1" si="1"/>
        <v>0</v>
      </c>
      <c r="AJ8">
        <f t="shared" ca="1" si="1"/>
        <v>0</v>
      </c>
      <c r="AK8">
        <f t="shared" ca="1" si="1"/>
        <v>0</v>
      </c>
      <c r="AL8">
        <f t="shared" ca="1" si="1"/>
        <v>0</v>
      </c>
      <c r="AM8">
        <f t="shared" ca="1" si="1"/>
        <v>0</v>
      </c>
      <c r="AN8">
        <f t="shared" ca="1" si="1"/>
        <v>0</v>
      </c>
      <c r="AO8">
        <f t="shared" ca="1" si="1"/>
        <v>0</v>
      </c>
      <c r="AP8">
        <f t="shared" ca="1" si="1"/>
        <v>0</v>
      </c>
      <c r="AQ8">
        <f t="shared" ca="1" si="1"/>
        <v>0</v>
      </c>
      <c r="AR8">
        <f t="shared" ca="1" si="1"/>
        <v>0</v>
      </c>
      <c r="AS8">
        <f t="shared" ca="1" si="1"/>
        <v>0</v>
      </c>
      <c r="AT8">
        <f t="shared" ca="1" si="1"/>
        <v>0</v>
      </c>
      <c r="AU8">
        <f t="shared" ca="1" si="1"/>
        <v>0</v>
      </c>
      <c r="AV8">
        <f t="shared" ca="1" si="1"/>
        <v>0</v>
      </c>
      <c r="AW8">
        <f t="shared" ca="1" si="1"/>
        <v>0</v>
      </c>
      <c r="AX8">
        <f t="shared" ca="1" si="1"/>
        <v>0</v>
      </c>
      <c r="AY8">
        <f t="shared" ca="1" si="1"/>
        <v>0</v>
      </c>
      <c r="AZ8">
        <f t="shared" ca="1" si="1"/>
        <v>0</v>
      </c>
      <c r="BA8">
        <f t="shared" ca="1" si="1"/>
        <v>0</v>
      </c>
      <c r="BB8">
        <f t="shared" ca="1" si="1"/>
        <v>0</v>
      </c>
      <c r="BC8">
        <f t="shared" ca="1" si="1"/>
        <v>0</v>
      </c>
      <c r="BD8">
        <f t="shared" ca="1" si="1"/>
        <v>0</v>
      </c>
      <c r="BE8">
        <f t="shared" ca="1" si="1"/>
        <v>0</v>
      </c>
      <c r="BF8">
        <f t="shared" ca="1" si="1"/>
        <v>0</v>
      </c>
      <c r="BG8">
        <f t="shared" ca="1" si="1"/>
        <v>0</v>
      </c>
      <c r="BH8">
        <f t="shared" ca="1" si="1"/>
        <v>0</v>
      </c>
      <c r="BI8">
        <f t="shared" ca="1" si="1"/>
        <v>0</v>
      </c>
      <c r="BJ8">
        <f t="shared" ca="1" si="1"/>
        <v>0</v>
      </c>
      <c r="BK8">
        <f t="shared" ca="1" si="1"/>
        <v>0</v>
      </c>
      <c r="BL8">
        <f t="shared" ca="1" si="1"/>
        <v>0</v>
      </c>
      <c r="BM8">
        <f t="shared" ca="1" si="1"/>
        <v>0</v>
      </c>
      <c r="BN8">
        <f t="shared" ca="1" si="1"/>
        <v>0</v>
      </c>
    </row>
    <row r="9" spans="1:69" s="16" customFormat="1" ht="14.5" customHeight="1">
      <c r="A9" s="112"/>
      <c r="B9" s="112"/>
      <c r="D9" s="22" t="s">
        <v>97</v>
      </c>
      <c r="E9" s="22" t="s">
        <v>98</v>
      </c>
      <c r="H9" s="22"/>
      <c r="I9" s="22"/>
      <c r="K9" s="22"/>
      <c r="L9" s="22"/>
      <c r="N9" s="22"/>
      <c r="O9" s="22"/>
      <c r="Q9" s="22"/>
      <c r="R9" s="22"/>
      <c r="T9" s="22"/>
      <c r="U9" s="22"/>
      <c r="W9" s="22"/>
      <c r="X9" s="22"/>
      <c r="Z9" s="22"/>
      <c r="AA9" s="22"/>
      <c r="AC9" s="22"/>
      <c r="AD9" s="22"/>
    </row>
    <row r="10" spans="1:69" ht="14.5" customHeight="1">
      <c r="A10" s="112"/>
      <c r="B10" s="112"/>
      <c r="D10" s="23" t="s">
        <v>96</v>
      </c>
      <c r="E10" s="23" t="s">
        <v>109</v>
      </c>
      <c r="H10" s="23"/>
      <c r="I10" s="23"/>
      <c r="K10" s="23"/>
      <c r="L10" s="23"/>
      <c r="N10" s="23"/>
      <c r="O10" s="23"/>
      <c r="Q10" s="23"/>
      <c r="R10" s="23"/>
      <c r="T10" s="23"/>
      <c r="U10" s="23"/>
      <c r="W10" s="23"/>
      <c r="X10" s="23"/>
      <c r="Z10" s="23"/>
      <c r="AA10" s="23"/>
      <c r="AC10" s="23"/>
      <c r="AD10" s="23"/>
    </row>
    <row r="11" spans="1:69" ht="14.5" customHeight="1">
      <c r="A11" s="112"/>
      <c r="B11" s="112"/>
      <c r="D11" s="23"/>
      <c r="E11" s="23"/>
      <c r="H11" s="23"/>
      <c r="I11" s="23"/>
      <c r="N11" s="23"/>
      <c r="O11" s="23"/>
      <c r="Q11" s="23"/>
      <c r="R11" s="23"/>
      <c r="W11" s="23"/>
      <c r="X11" s="23"/>
      <c r="Z11" s="23"/>
      <c r="AA11" s="23"/>
    </row>
    <row r="12" spans="1:69" ht="14.5" customHeight="1">
      <c r="A12" s="112"/>
      <c r="B12" s="112"/>
      <c r="D12" s="23"/>
      <c r="E12" s="23"/>
      <c r="N12" s="23"/>
      <c r="O12" s="23"/>
      <c r="Q12" s="23"/>
      <c r="R12" s="23"/>
      <c r="W12" s="23"/>
      <c r="X12" s="23"/>
      <c r="Z12" s="23"/>
      <c r="AA12" s="23"/>
    </row>
    <row r="13" spans="1:69" ht="14.5" customHeight="1">
      <c r="A13" s="112"/>
      <c r="B13" s="112"/>
      <c r="D13" s="23"/>
      <c r="E13" s="23"/>
      <c r="N13" s="23"/>
      <c r="O13" s="23"/>
      <c r="Q13" s="23"/>
      <c r="R13" s="23"/>
      <c r="W13" s="23"/>
      <c r="X13" s="23"/>
      <c r="Z13" s="23"/>
      <c r="AA13" s="23"/>
    </row>
    <row r="14" spans="1:69" ht="14.5" customHeight="1">
      <c r="A14" s="112"/>
      <c r="B14" s="112"/>
      <c r="D14" s="23"/>
      <c r="E14" s="23"/>
      <c r="N14" s="23"/>
      <c r="O14" s="23"/>
      <c r="Q14" s="23"/>
      <c r="R14" s="23"/>
      <c r="W14" s="23"/>
      <c r="X14" s="23"/>
      <c r="Z14" s="23"/>
      <c r="AA14" s="23"/>
    </row>
    <row r="15" spans="1:69" ht="14.5" customHeight="1">
      <c r="A15" s="112"/>
      <c r="B15" s="112"/>
      <c r="D15" s="23"/>
      <c r="E15" s="23"/>
      <c r="N15" s="23"/>
      <c r="O15" s="23"/>
      <c r="Q15" s="23"/>
      <c r="R15" s="23"/>
      <c r="W15" s="23"/>
      <c r="X15" s="23"/>
      <c r="Z15" s="23"/>
      <c r="AA15" s="23"/>
    </row>
    <row r="16" spans="1:69" ht="14.5" customHeight="1">
      <c r="A16" s="112"/>
      <c r="B16" s="112"/>
      <c r="N16" s="23"/>
      <c r="O16" s="23"/>
      <c r="W16" s="23"/>
      <c r="X16" s="23"/>
      <c r="Z16" s="23"/>
      <c r="AA16" s="23"/>
    </row>
    <row r="17" spans="1:24" ht="14.5" customHeight="1">
      <c r="A17" s="112"/>
      <c r="B17" s="112"/>
      <c r="N17" s="23"/>
      <c r="O17" s="23"/>
      <c r="W17" s="23"/>
      <c r="X17" s="23"/>
    </row>
    <row r="18" spans="1:24" ht="14.5" customHeight="1">
      <c r="A18" s="112"/>
      <c r="B18" s="112"/>
      <c r="N18" s="23"/>
      <c r="O18" s="23"/>
    </row>
    <row r="19" spans="1:24" ht="14.5" customHeight="1">
      <c r="A19" s="112"/>
      <c r="B19" s="112"/>
      <c r="N19" s="23"/>
      <c r="O19" s="23"/>
    </row>
    <row r="20" spans="1:24" ht="14.5" customHeight="1">
      <c r="A20" s="112"/>
      <c r="B20" s="112"/>
      <c r="N20" s="23"/>
      <c r="O20" s="23"/>
    </row>
    <row r="21" spans="1:24" ht="14.5" customHeight="1">
      <c r="A21" s="112"/>
      <c r="B21" s="112"/>
      <c r="N21" s="23"/>
      <c r="O21" s="23"/>
    </row>
    <row r="22" spans="1:24" ht="14.5" customHeight="1">
      <c r="A22" s="112"/>
      <c r="B22" s="112"/>
      <c r="N22" s="23"/>
      <c r="O22" s="23"/>
    </row>
    <row r="23" spans="1:24">
      <c r="A23" s="112"/>
      <c r="B23" s="112"/>
      <c r="N23" s="23"/>
      <c r="O23" s="23"/>
    </row>
    <row r="24" spans="1:24">
      <c r="A24" s="112"/>
      <c r="B24" s="112"/>
      <c r="N24" s="23"/>
      <c r="O24" s="23"/>
    </row>
    <row r="25" spans="1:24">
      <c r="A25" s="112"/>
      <c r="B25" s="112"/>
      <c r="N25" s="23"/>
      <c r="O25" s="23"/>
    </row>
    <row r="26" spans="1:24">
      <c r="A26" s="112"/>
      <c r="B26" s="112"/>
      <c r="N26" s="23"/>
      <c r="O26" s="23"/>
    </row>
    <row r="27" spans="1:24">
      <c r="A27" s="112"/>
      <c r="B27" s="112"/>
      <c r="N27" s="23"/>
      <c r="O27" s="23"/>
    </row>
    <row r="28" spans="1:24">
      <c r="A28" s="112"/>
      <c r="B28" s="112"/>
      <c r="N28" s="23"/>
      <c r="O28" s="23"/>
    </row>
    <row r="29" spans="1:24">
      <c r="A29" s="112"/>
      <c r="B29" s="112"/>
      <c r="N29" s="23"/>
      <c r="O29" s="23"/>
    </row>
    <row r="30" spans="1:24">
      <c r="A30" s="112"/>
      <c r="B30" s="112"/>
      <c r="N30" s="23"/>
      <c r="O30" s="23"/>
    </row>
    <row r="31" spans="1:24">
      <c r="A31" s="112"/>
      <c r="B31" s="112"/>
    </row>
    <row r="32" spans="1:24">
      <c r="A32" s="112"/>
      <c r="B32" s="112"/>
    </row>
    <row r="33" spans="1:2">
      <c r="A33" s="112"/>
      <c r="B33" s="112"/>
    </row>
  </sheetData>
  <mergeCells count="3">
    <mergeCell ref="D3:D4"/>
    <mergeCell ref="E3:E4"/>
    <mergeCell ref="A2:B3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1A563-3FEB-414D-861A-E7A5F984E291}">
  <sheetPr codeName="Sheet13"/>
  <dimension ref="A3:G9"/>
  <sheetViews>
    <sheetView workbookViewId="0">
      <selection activeCell="N4" sqref="N4"/>
    </sheetView>
  </sheetViews>
  <sheetFormatPr defaultRowHeight="14.5"/>
  <cols>
    <col min="4" max="4" width="15.36328125" customWidth="1"/>
    <col min="5" max="5" width="15.453125" customWidth="1"/>
    <col min="6" max="6" width="15.7265625" customWidth="1"/>
    <col min="27" max="27" width="30.54296875" customWidth="1"/>
  </cols>
  <sheetData>
    <row r="3" spans="1:7">
      <c r="A3" s="68" t="s">
        <v>97</v>
      </c>
      <c r="B3" s="69" t="s">
        <v>117</v>
      </c>
      <c r="C3" s="69" t="s">
        <v>118</v>
      </c>
      <c r="D3" s="69" t="s">
        <v>119</v>
      </c>
      <c r="E3" s="69" t="s">
        <v>120</v>
      </c>
      <c r="F3" s="69" t="s">
        <v>27</v>
      </c>
      <c r="G3" s="70" t="s">
        <v>121</v>
      </c>
    </row>
    <row r="4" spans="1:7">
      <c r="A4" s="71" t="s">
        <v>68</v>
      </c>
      <c r="B4" s="72" t="s">
        <v>204</v>
      </c>
      <c r="C4" s="73">
        <v>46075</v>
      </c>
      <c r="D4" s="72" t="s">
        <v>205</v>
      </c>
      <c r="E4" s="72">
        <v>995</v>
      </c>
      <c r="F4" s="72" t="s">
        <v>206</v>
      </c>
      <c r="G4" s="74" t="s">
        <v>207</v>
      </c>
    </row>
    <row r="5" spans="1:7">
      <c r="A5" s="75" t="s">
        <v>69</v>
      </c>
      <c r="B5" s="76" t="s">
        <v>208</v>
      </c>
      <c r="C5" s="77">
        <v>46077</v>
      </c>
      <c r="D5" s="76" t="s">
        <v>209</v>
      </c>
      <c r="E5" s="76">
        <v>1200</v>
      </c>
      <c r="F5" s="76" t="s">
        <v>210</v>
      </c>
      <c r="G5" s="78" t="s">
        <v>211</v>
      </c>
    </row>
    <row r="6" spans="1:7">
      <c r="A6" s="71" t="s">
        <v>70</v>
      </c>
      <c r="B6" s="72" t="s">
        <v>212</v>
      </c>
      <c r="C6" s="73">
        <v>46080</v>
      </c>
      <c r="D6" s="72" t="s">
        <v>213</v>
      </c>
      <c r="E6" s="72">
        <v>560</v>
      </c>
      <c r="F6" s="72" t="s">
        <v>214</v>
      </c>
      <c r="G6" s="74" t="s">
        <v>215</v>
      </c>
    </row>
    <row r="7" spans="1:7">
      <c r="A7" s="75" t="s">
        <v>71</v>
      </c>
      <c r="B7" s="76" t="s">
        <v>216</v>
      </c>
      <c r="C7" s="77">
        <v>46082</v>
      </c>
      <c r="D7" s="76" t="s">
        <v>217</v>
      </c>
      <c r="E7" s="76">
        <v>760</v>
      </c>
      <c r="F7" s="76" t="s">
        <v>218</v>
      </c>
      <c r="G7" s="78" t="s">
        <v>219</v>
      </c>
    </row>
    <row r="8" spans="1:7">
      <c r="A8" s="71" t="s">
        <v>72</v>
      </c>
      <c r="B8" s="72" t="s">
        <v>220</v>
      </c>
      <c r="C8" s="73">
        <v>46084</v>
      </c>
      <c r="D8" s="72" t="s">
        <v>221</v>
      </c>
      <c r="E8" s="72">
        <v>880</v>
      </c>
      <c r="F8" s="72" t="s">
        <v>222</v>
      </c>
      <c r="G8" s="74" t="s">
        <v>223</v>
      </c>
    </row>
    <row r="9" spans="1:7">
      <c r="A9" s="75" t="s">
        <v>73</v>
      </c>
      <c r="B9" s="76" t="s">
        <v>224</v>
      </c>
      <c r="C9" s="77">
        <v>46086</v>
      </c>
      <c r="D9" s="76" t="s">
        <v>225</v>
      </c>
      <c r="E9" s="76">
        <v>1040</v>
      </c>
      <c r="F9" s="76" t="s">
        <v>226</v>
      </c>
      <c r="G9" s="78" t="s">
        <v>227</v>
      </c>
    </row>
  </sheetData>
  <conditionalFormatting sqref="A3">
    <cfRule type="duplicateValues" dxfId="30" priority="19"/>
  </conditionalFormatting>
  <conditionalFormatting sqref="B3:G3">
    <cfRule type="duplicateValues" dxfId="29" priority="20"/>
  </conditionalFormatting>
  <conditionalFormatting sqref="E4">
    <cfRule type="duplicateValues" dxfId="28" priority="16"/>
  </conditionalFormatting>
  <conditionalFormatting sqref="A4">
    <cfRule type="duplicateValues" dxfId="27" priority="17"/>
  </conditionalFormatting>
  <conditionalFormatting sqref="B4">
    <cfRule type="duplicateValues" dxfId="26" priority="18"/>
  </conditionalFormatting>
  <conditionalFormatting sqref="E5">
    <cfRule type="duplicateValues" dxfId="25" priority="13"/>
  </conditionalFormatting>
  <conditionalFormatting sqref="A5">
    <cfRule type="duplicateValues" dxfId="24" priority="14"/>
  </conditionalFormatting>
  <conditionalFormatting sqref="B5">
    <cfRule type="duplicateValues" dxfId="23" priority="15"/>
  </conditionalFormatting>
  <conditionalFormatting sqref="E6">
    <cfRule type="duplicateValues" dxfId="22" priority="10"/>
  </conditionalFormatting>
  <conditionalFormatting sqref="A6">
    <cfRule type="duplicateValues" dxfId="21" priority="11"/>
  </conditionalFormatting>
  <conditionalFormatting sqref="B6">
    <cfRule type="duplicateValues" dxfId="20" priority="12"/>
  </conditionalFormatting>
  <conditionalFormatting sqref="E7">
    <cfRule type="duplicateValues" dxfId="19" priority="7"/>
  </conditionalFormatting>
  <conditionalFormatting sqref="A7">
    <cfRule type="duplicateValues" dxfId="18" priority="8"/>
  </conditionalFormatting>
  <conditionalFormatting sqref="B7">
    <cfRule type="duplicateValues" dxfId="17" priority="9"/>
  </conditionalFormatting>
  <conditionalFormatting sqref="E8">
    <cfRule type="duplicateValues" dxfId="16" priority="4"/>
  </conditionalFormatting>
  <conditionalFormatting sqref="A8">
    <cfRule type="duplicateValues" dxfId="15" priority="5"/>
  </conditionalFormatting>
  <conditionalFormatting sqref="B8">
    <cfRule type="duplicateValues" dxfId="14" priority="6"/>
  </conditionalFormatting>
  <conditionalFormatting sqref="E9">
    <cfRule type="duplicateValues" dxfId="13" priority="1"/>
  </conditionalFormatting>
  <conditionalFormatting sqref="A9">
    <cfRule type="duplicateValues" dxfId="12" priority="2"/>
  </conditionalFormatting>
  <conditionalFormatting sqref="B9">
    <cfRule type="duplicateValues" dxfId="11" priority="3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ExportInvalidEmails">
                <anchor moveWithCells="1" sizeWithCells="1">
                  <from>
                    <xdr:col>11</xdr:col>
                    <xdr:colOff>292100</xdr:colOff>
                    <xdr:row>0</xdr:row>
                    <xdr:rowOff>38100</xdr:rowOff>
                  </from>
                  <to>
                    <xdr:col>14</xdr:col>
                    <xdr:colOff>6350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16F62-CDD8-4B33-B37B-99F4B7CE00A1}">
  <sheetPr codeName="Sheet20"/>
  <dimension ref="A3:G6"/>
  <sheetViews>
    <sheetView workbookViewId="0">
      <selection activeCell="C21" sqref="C21"/>
    </sheetView>
  </sheetViews>
  <sheetFormatPr defaultRowHeight="14.5"/>
  <cols>
    <col min="1" max="1" width="28.6328125" customWidth="1"/>
    <col min="2" max="2" width="28.7265625" customWidth="1"/>
    <col min="3" max="4" width="26.81640625" bestFit="1" customWidth="1"/>
    <col min="7" max="7" width="24.1796875" customWidth="1"/>
  </cols>
  <sheetData>
    <row r="3" spans="1:7">
      <c r="A3" s="68" t="s">
        <v>97</v>
      </c>
      <c r="B3" s="69" t="s">
        <v>117</v>
      </c>
      <c r="C3" s="69" t="s">
        <v>118</v>
      </c>
      <c r="D3" s="69" t="s">
        <v>119</v>
      </c>
      <c r="E3" s="69" t="s">
        <v>120</v>
      </c>
      <c r="F3" s="69" t="s">
        <v>27</v>
      </c>
      <c r="G3" s="70" t="s">
        <v>121</v>
      </c>
    </row>
    <row r="4" spans="1:7">
      <c r="A4" s="71" t="s">
        <v>64</v>
      </c>
      <c r="B4" s="72" t="s">
        <v>190</v>
      </c>
      <c r="C4" s="73">
        <v>46065</v>
      </c>
      <c r="D4" s="72" t="s">
        <v>191</v>
      </c>
      <c r="E4" s="72">
        <v>980</v>
      </c>
      <c r="F4" s="72" t="s">
        <v>192</v>
      </c>
      <c r="G4" s="74" t="s">
        <v>193</v>
      </c>
    </row>
    <row r="5" spans="1:7">
      <c r="A5" s="75" t="s">
        <v>65</v>
      </c>
      <c r="B5" s="76" t="s">
        <v>194</v>
      </c>
      <c r="C5" s="77">
        <v>46068</v>
      </c>
      <c r="D5" s="76" t="s">
        <v>195</v>
      </c>
      <c r="E5" s="76">
        <v>1350</v>
      </c>
      <c r="F5" s="76">
        <v>12345</v>
      </c>
      <c r="G5" s="78" t="s">
        <v>196</v>
      </c>
    </row>
    <row r="6" spans="1:7">
      <c r="A6" s="71" t="s">
        <v>66</v>
      </c>
      <c r="B6" s="72" t="s">
        <v>197</v>
      </c>
      <c r="C6" s="73">
        <v>46070</v>
      </c>
      <c r="D6" s="72" t="s">
        <v>198</v>
      </c>
      <c r="E6" s="72">
        <v>450</v>
      </c>
      <c r="F6" s="72" t="s">
        <v>199</v>
      </c>
      <c r="G6" s="74" t="s">
        <v>200</v>
      </c>
    </row>
  </sheetData>
  <conditionalFormatting sqref="A3">
    <cfRule type="duplicateValues" dxfId="10" priority="10"/>
  </conditionalFormatting>
  <conditionalFormatting sqref="B3:G3">
    <cfRule type="duplicateValues" dxfId="9" priority="11"/>
  </conditionalFormatting>
  <conditionalFormatting sqref="E4">
    <cfRule type="duplicateValues" dxfId="8" priority="7"/>
  </conditionalFormatting>
  <conditionalFormatting sqref="A4">
    <cfRule type="duplicateValues" dxfId="7" priority="8"/>
  </conditionalFormatting>
  <conditionalFormatting sqref="B4">
    <cfRule type="duplicateValues" dxfId="6" priority="9"/>
  </conditionalFormatting>
  <conditionalFormatting sqref="E5">
    <cfRule type="duplicateValues" dxfId="5" priority="4"/>
  </conditionalFormatting>
  <conditionalFormatting sqref="A5">
    <cfRule type="duplicateValues" dxfId="4" priority="5"/>
  </conditionalFormatting>
  <conditionalFormatting sqref="B5">
    <cfRule type="duplicateValues" dxfId="3" priority="6"/>
  </conditionalFormatting>
  <conditionalFormatting sqref="E6">
    <cfRule type="duplicateValues" dxfId="2" priority="1"/>
  </conditionalFormatting>
  <conditionalFormatting sqref="A6">
    <cfRule type="duplicateValues" dxfId="1" priority="2"/>
  </conditionalFormatting>
  <conditionalFormatting sqref="B6">
    <cfRule type="duplicateValues" dxfId="0" priority="3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ExportInvalidPostcodes">
                <anchor moveWithCells="1" sizeWithCells="1">
                  <from>
                    <xdr:col>6</xdr:col>
                    <xdr:colOff>50800</xdr:colOff>
                    <xdr:row>0</xdr:row>
                    <xdr:rowOff>57150</xdr:rowOff>
                  </from>
                  <to>
                    <xdr:col>7</xdr:col>
                    <xdr:colOff>596900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README</vt:lpstr>
      <vt:lpstr>ReportData</vt:lpstr>
      <vt:lpstr>Quality Report</vt:lpstr>
      <vt:lpstr>Missing Data</vt:lpstr>
      <vt:lpstr>Duplicates</vt:lpstr>
      <vt:lpstr>Formatting</vt:lpstr>
      <vt:lpstr>Invalid Data</vt:lpstr>
      <vt:lpstr>InvalidEmails</vt:lpstr>
      <vt:lpstr>InvalidPostcodes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2026-09-16T11:58:48Z</dcterms:created>
  <dcterms:modified xsi:type="dcterms:W3CDTF">2026-09-16T12:21:01Z</dcterms:modified>
</cp:coreProperties>
</file>